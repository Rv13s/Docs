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2024\Aug\Sprint 27\"/>
    </mc:Choice>
  </mc:AlternateContent>
  <bookViews>
    <workbookView xWindow="0" yWindow="0" windowWidth="20430" windowHeight="6960" tabRatio="500" activeTab="3"/>
  </bookViews>
  <sheets>
    <sheet name="Sprint25-Capacity" sheetId="1" r:id="rId1"/>
    <sheet name="Sprint25-StorySizing" sheetId="2" r:id="rId2"/>
    <sheet name="Sheet3" sheetId="3" state="hidden" r:id="rId3"/>
    <sheet name="Sprint25-Task Estimation" sheetId="4" r:id="rId4"/>
    <sheet name="Contribution" sheetId="5" r:id="rId5"/>
  </sheets>
  <definedNames>
    <definedName name="_xlnm._FilterDatabase" localSheetId="3" hidden="1">'Sprint25-Task Estimation'!$A$13:$I$61</definedName>
  </definedNames>
  <calcPr calcId="162913"/>
  <pivotCaches>
    <pivotCache cacheId="0" r:id="rId6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7" i="5" l="1"/>
  <c r="E16" i="5"/>
  <c r="E15" i="5"/>
  <c r="E13" i="5"/>
  <c r="E12" i="5"/>
  <c r="E11" i="5"/>
  <c r="E10" i="5"/>
  <c r="E9" i="5"/>
  <c r="E8" i="5"/>
  <c r="E7" i="5"/>
  <c r="E6" i="5"/>
  <c r="N5" i="5"/>
  <c r="E5" i="5"/>
  <c r="E4" i="5"/>
  <c r="E3" i="5"/>
  <c r="P14" i="4"/>
  <c r="O9" i="4"/>
  <c r="N9" i="4"/>
  <c r="M9" i="4"/>
  <c r="L9" i="4"/>
  <c r="O8" i="4"/>
  <c r="N8" i="4"/>
  <c r="M8" i="4"/>
  <c r="L8" i="4"/>
  <c r="O7" i="4"/>
  <c r="N7" i="4"/>
  <c r="M7" i="4"/>
  <c r="L7" i="4"/>
  <c r="O6" i="4"/>
  <c r="N6" i="4"/>
  <c r="M6" i="4"/>
  <c r="L6" i="4"/>
  <c r="O5" i="4"/>
  <c r="N5" i="4"/>
  <c r="M5" i="4"/>
  <c r="L5" i="4"/>
  <c r="O4" i="4"/>
  <c r="N4" i="4"/>
  <c r="M4" i="4"/>
  <c r="L4" i="4"/>
  <c r="O3" i="4"/>
  <c r="N3" i="4"/>
  <c r="M3" i="4"/>
  <c r="L3" i="4"/>
  <c r="I15" i="2"/>
  <c r="H15" i="2"/>
  <c r="D16" i="1"/>
  <c r="E15" i="1"/>
  <c r="E14" i="1"/>
  <c r="E12" i="1"/>
  <c r="E11" i="1"/>
  <c r="E10" i="1"/>
  <c r="E9" i="1"/>
  <c r="E16" i="1" s="1"/>
  <c r="B20" i="1" s="1"/>
</calcChain>
</file>

<file path=xl/sharedStrings.xml><?xml version="1.0" encoding="utf-8"?>
<sst xmlns="http://schemas.openxmlformats.org/spreadsheetml/2006/main" count="244" uniqueCount="107">
  <si>
    <t>Sprint Capacity Plan</t>
  </si>
  <si>
    <t>Project</t>
  </si>
  <si>
    <t>NOVA-DIG Sprint 13</t>
  </si>
  <si>
    <t>Sprint Duration (In Days)</t>
  </si>
  <si>
    <t>Start Date</t>
  </si>
  <si>
    <t>End Date</t>
  </si>
  <si>
    <t>Resource Capacity</t>
  </si>
  <si>
    <t>Res.Name</t>
  </si>
  <si>
    <t>Capacity (Hrs)</t>
  </si>
  <si>
    <t>Contribution %</t>
  </si>
  <si>
    <t>Non Availability (Hrs)</t>
  </si>
  <si>
    <t>Available Capacity</t>
  </si>
  <si>
    <t>Saravanan P</t>
  </si>
  <si>
    <t>Surender</t>
  </si>
  <si>
    <t>Balaji Kannan</t>
  </si>
  <si>
    <t>Sivashankaran</t>
  </si>
  <si>
    <t>Pradeep</t>
  </si>
  <si>
    <t>Raviraj</t>
  </si>
  <si>
    <t>Total Capacity</t>
  </si>
  <si>
    <t>Plan Overview</t>
  </si>
  <si>
    <t>Estimated Task Total Hrs</t>
  </si>
  <si>
    <t>Load %</t>
  </si>
  <si>
    <t>Team Velocity</t>
  </si>
  <si>
    <t>Story Points Committed</t>
  </si>
  <si>
    <t>Story Sizing</t>
  </si>
  <si>
    <t>User Story No</t>
  </si>
  <si>
    <t>Balaji</t>
  </si>
  <si>
    <t>Sivasankaran</t>
  </si>
  <si>
    <t>Ravi</t>
  </si>
  <si>
    <t>Finalized S.P</t>
  </si>
  <si>
    <t>Efforts</t>
  </si>
  <si>
    <t>NOVDIGSCR-1891</t>
  </si>
  <si>
    <t>NOVDIGSCR-1858</t>
  </si>
  <si>
    <t>NOVDIGSCR-1902</t>
  </si>
  <si>
    <t>NOVDIGSCR-1847</t>
  </si>
  <si>
    <t>NOVDIGSCR-1880</t>
  </si>
  <si>
    <t>NOVDIGSCR-1869</t>
  </si>
  <si>
    <t>Total</t>
  </si>
  <si>
    <t>Reference:</t>
  </si>
  <si>
    <t>NC</t>
  </si>
  <si>
    <t>Not Able to Contribute</t>
  </si>
  <si>
    <t>Finalized Story Points</t>
  </si>
  <si>
    <t>Sizing</t>
  </si>
  <si>
    <t>Man Hrs</t>
  </si>
  <si>
    <t>&lt;=8</t>
  </si>
  <si>
    <t>&lt;=16</t>
  </si>
  <si>
    <t>&lt;=24</t>
  </si>
  <si>
    <t>&lt;=40</t>
  </si>
  <si>
    <t>&lt;=80</t>
  </si>
  <si>
    <t>Story Point</t>
  </si>
  <si>
    <t>Sum of Hours</t>
  </si>
  <si>
    <t>(empty)</t>
  </si>
  <si>
    <t>Total Result</t>
  </si>
  <si>
    <t>WBS</t>
  </si>
  <si>
    <t>Coding</t>
  </si>
  <si>
    <t>Design</t>
  </si>
  <si>
    <t>Unit Testing</t>
  </si>
  <si>
    <t>Testing</t>
  </si>
  <si>
    <t>Total Efforts</t>
  </si>
  <si>
    <t>Sno</t>
  </si>
  <si>
    <t>UserStory</t>
  </si>
  <si>
    <t>Story Description</t>
  </si>
  <si>
    <t>SubTask</t>
  </si>
  <si>
    <t>Activity</t>
  </si>
  <si>
    <t>Hours</t>
  </si>
  <si>
    <t>Resource</t>
  </si>
  <si>
    <t>Design Work</t>
  </si>
  <si>
    <t>Ijas</t>
  </si>
  <si>
    <t>Manikandan</t>
  </si>
  <si>
    <t>Design Review</t>
  </si>
  <si>
    <t>Muthu</t>
  </si>
  <si>
    <t>MuthulakshmiA</t>
  </si>
  <si>
    <t>UI Changes</t>
  </si>
  <si>
    <t>API Changes</t>
  </si>
  <si>
    <t>Code Changes</t>
  </si>
  <si>
    <t>Code Review</t>
  </si>
  <si>
    <t>Unit Test</t>
  </si>
  <si>
    <t>Unit test case Preparation</t>
  </si>
  <si>
    <t>Unit test case review</t>
  </si>
  <si>
    <t>Unit test execution</t>
  </si>
  <si>
    <t>KapilDev</t>
  </si>
  <si>
    <t xml:space="preserve">Test Case Prepartion </t>
  </si>
  <si>
    <t>Nihal shameem</t>
  </si>
  <si>
    <t>Test Case Review</t>
  </si>
  <si>
    <t>Saravana Muthu T</t>
  </si>
  <si>
    <t>Surendran KU</t>
  </si>
  <si>
    <t>Test Execution</t>
  </si>
  <si>
    <t>Mohan</t>
  </si>
  <si>
    <t>Sivachandran</t>
  </si>
  <si>
    <t>Nihal</t>
  </si>
  <si>
    <t>Total Hrs</t>
  </si>
  <si>
    <t>Percentage</t>
  </si>
  <si>
    <t>BalajiKannan</t>
  </si>
  <si>
    <t>Muthulakshmi</t>
  </si>
  <si>
    <t>Thufail</t>
  </si>
  <si>
    <t>Mydeen Ijas</t>
  </si>
  <si>
    <t>Kapil</t>
  </si>
  <si>
    <t>Saravana muthu</t>
  </si>
  <si>
    <t>Cyber insurance - Assist page</t>
  </si>
  <si>
    <t>Road Tax - Hub and State Pages - Change Request</t>
  </si>
  <si>
    <t>Cookie consent &amp; communication opt in opt out</t>
  </si>
  <si>
    <t>NOVDIGSCR-2692</t>
  </si>
  <si>
    <t>Enable Paytm payment gateway in motor renewal journey</t>
  </si>
  <si>
    <t>NOVDIGSCR-2681</t>
  </si>
  <si>
    <t xml:space="preserve">NOVDIGSCR-2670
</t>
  </si>
  <si>
    <t>NOVDIGSCR-2671</t>
  </si>
  <si>
    <t>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</si>
</sst>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 mmm\ yy"/>
    <numFmt numFmtId="165" formatCode="0.0"/>
  </numFmts>
  <fonts count="11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A6A6A6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9"/>
      <color rgb="FFA6A6A6"/>
      <name val="Arial"/>
      <family val="2"/>
      <charset val="1"/>
    </font>
    <font>
      <sz val="11"/>
      <color rgb="FF000000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4472C4"/>
        <bgColor rgb="FF2E75B6"/>
      </patternFill>
    </fill>
    <fill>
      <patternFill patternType="solid">
        <fgColor rgb="FFA5A5A5"/>
        <bgColor rgb="FFA6A6A6"/>
      </patternFill>
    </fill>
    <fill>
      <patternFill patternType="solid">
        <fgColor rgb="FF5B9BD5"/>
        <bgColor rgb="FF4472C4"/>
      </patternFill>
    </fill>
    <fill>
      <patternFill patternType="solid">
        <fgColor rgb="FFBDD7EE"/>
        <bgColor rgb="FF9DC3E6"/>
      </patternFill>
    </fill>
    <fill>
      <patternFill patternType="solid">
        <fgColor rgb="FF9DC3E6"/>
        <bgColor rgb="FFBFBFBF"/>
      </patternFill>
    </fill>
    <fill>
      <patternFill patternType="solid">
        <fgColor rgb="FFBFBFBF"/>
        <bgColor rgb="FF9DC3E6"/>
      </patternFill>
    </fill>
    <fill>
      <patternFill patternType="solid">
        <fgColor rgb="FF2E75B6"/>
        <bgColor rgb="FF4472C4"/>
      </patternFill>
    </fill>
    <fill>
      <patternFill patternType="solid">
        <fgColor rgb="FFA6A6A6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FFFF00"/>
      </patternFill>
    </fill>
  </fills>
  <borders count="1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double">
        <color rgb="FF3F3F3F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0" fontId="10" fillId="0" borderId="0" applyBorder="0" applyProtection="0">
      <alignment horizontal="left"/>
    </xf>
    <xf numFmtId="0" fontId="10" fillId="0" borderId="0" applyBorder="0" applyProtection="0"/>
    <xf numFmtId="0" fontId="10" fillId="0" borderId="0" applyBorder="0" applyProtection="0"/>
    <xf numFmtId="0" fontId="1" fillId="0" borderId="0" applyBorder="0" applyProtection="0"/>
    <xf numFmtId="0" fontId="1" fillId="0" borderId="0" applyBorder="0" applyProtection="0">
      <alignment horizontal="left"/>
    </xf>
    <xf numFmtId="0" fontId="10" fillId="0" borderId="0" applyBorder="0" applyProtection="0"/>
    <xf numFmtId="0" fontId="4" fillId="2" borderId="0" applyBorder="0" applyProtection="0"/>
    <xf numFmtId="0" fontId="8" fillId="3" borderId="1" applyProtection="0"/>
    <xf numFmtId="0" fontId="4" fillId="4" borderId="0" applyBorder="0" applyProtection="0"/>
  </cellStyleXfs>
  <cellXfs count="8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4" fillId="2" borderId="2" xfId="7" applyFont="1" applyBorder="1" applyAlignment="1" applyProtection="1">
      <alignment horizontal="left"/>
    </xf>
    <xf numFmtId="0" fontId="4" fillId="2" borderId="2" xfId="7" applyBorder="1" applyAlignment="1" applyProtection="1">
      <alignment horizontal="center"/>
    </xf>
    <xf numFmtId="0" fontId="5" fillId="5" borderId="3" xfId="0" applyFont="1" applyFill="1" applyBorder="1" applyAlignment="1">
      <alignment horizontal="left" vertical="center" wrapText="1"/>
    </xf>
    <xf numFmtId="1" fontId="6" fillId="5" borderId="3" xfId="0" applyNumberFormat="1" applyFont="1" applyFill="1" applyBorder="1" applyAlignment="1">
      <alignment horizontal="center" vertical="center"/>
    </xf>
    <xf numFmtId="164" fontId="7" fillId="5" borderId="3" xfId="0" applyNumberFormat="1" applyFont="1" applyFill="1" applyBorder="1" applyAlignment="1">
      <alignment horizontal="center" vertical="center"/>
    </xf>
    <xf numFmtId="0" fontId="8" fillId="3" borderId="5" xfId="8" applyFont="1" applyBorder="1" applyAlignment="1" applyProtection="1"/>
    <xf numFmtId="0" fontId="8" fillId="3" borderId="6" xfId="8" applyFont="1" applyBorder="1" applyAlignment="1" applyProtection="1"/>
    <xf numFmtId="0" fontId="8" fillId="3" borderId="7" xfId="8" applyFont="1" applyBorder="1" applyAlignment="1" applyProtection="1"/>
    <xf numFmtId="0" fontId="8" fillId="3" borderId="0" xfId="8" applyFont="1" applyBorder="1" applyAlignment="1" applyProtection="1"/>
    <xf numFmtId="165" fontId="0" fillId="0" borderId="0" xfId="0" applyNumberFormat="1"/>
    <xf numFmtId="0" fontId="0" fillId="0" borderId="2" xfId="0" applyFont="1" applyBorder="1"/>
    <xf numFmtId="165" fontId="0" fillId="0" borderId="2" xfId="0" applyNumberFormat="1" applyBorder="1"/>
    <xf numFmtId="0" fontId="0" fillId="0" borderId="8" xfId="0" applyFont="1" applyBorder="1"/>
    <xf numFmtId="0" fontId="4" fillId="4" borderId="9" xfId="9" applyFont="1" applyBorder="1" applyAlignment="1" applyProtection="1"/>
    <xf numFmtId="0" fontId="4" fillId="4" borderId="10" xfId="9" applyBorder="1" applyAlignment="1" applyProtection="1"/>
    <xf numFmtId="0" fontId="4" fillId="4" borderId="10" xfId="9" applyBorder="1" applyAlignment="1" applyProtection="1">
      <alignment horizontal="left"/>
    </xf>
    <xf numFmtId="0" fontId="0" fillId="6" borderId="2" xfId="0" applyFill="1" applyBorder="1"/>
    <xf numFmtId="165" fontId="0" fillId="6" borderId="2" xfId="0" applyNumberFormat="1" applyFill="1" applyBorder="1"/>
    <xf numFmtId="0" fontId="4" fillId="0" borderId="0" xfId="9" applyFill="1" applyBorder="1" applyAlignment="1" applyProtection="1">
      <alignment horizontal="center"/>
    </xf>
    <xf numFmtId="0" fontId="0" fillId="0" borderId="11" xfId="0" applyBorder="1"/>
    <xf numFmtId="0" fontId="0" fillId="0" borderId="0" xfId="0" applyBorder="1"/>
    <xf numFmtId="0" fontId="0" fillId="7" borderId="3" xfId="0" applyFont="1" applyFill="1" applyBorder="1"/>
    <xf numFmtId="0" fontId="0" fillId="7" borderId="2" xfId="0" applyFont="1" applyFill="1" applyBorder="1"/>
    <xf numFmtId="1" fontId="0" fillId="0" borderId="2" xfId="0" applyNumberFormat="1" applyBorder="1"/>
    <xf numFmtId="0" fontId="2" fillId="0" borderId="0" xfId="0" applyFont="1" applyAlignment="1">
      <alignment horizontal="right"/>
    </xf>
    <xf numFmtId="0" fontId="8" fillId="3" borderId="12" xfId="8" applyFont="1" applyBorder="1" applyAlignment="1" applyProtection="1"/>
    <xf numFmtId="0" fontId="8" fillId="8" borderId="5" xfId="8" applyFont="1" applyFill="1" applyBorder="1" applyAlignment="1" applyProtection="1"/>
    <xf numFmtId="0" fontId="0" fillId="0" borderId="9" xfId="0" applyBorder="1"/>
    <xf numFmtId="0" fontId="4" fillId="8" borderId="9" xfId="9" applyFill="1" applyBorder="1" applyAlignment="1" applyProtection="1"/>
    <xf numFmtId="0" fontId="0" fillId="9" borderId="2" xfId="0" applyFont="1" applyFill="1" applyBorder="1"/>
    <xf numFmtId="0" fontId="0" fillId="9" borderId="0" xfId="0" applyFont="1" applyFill="1" applyBorder="1"/>
    <xf numFmtId="0" fontId="0" fillId="0" borderId="13" xfId="3" applyFont="1" applyBorder="1"/>
    <xf numFmtId="0" fontId="0" fillId="0" borderId="14" xfId="2" applyFont="1" applyBorder="1"/>
    <xf numFmtId="0" fontId="0" fillId="0" borderId="15" xfId="1" applyFont="1" applyBorder="1">
      <alignment horizontal="left"/>
    </xf>
    <xf numFmtId="0" fontId="10" fillId="0" borderId="16" xfId="6" applyBorder="1"/>
    <xf numFmtId="0" fontId="1" fillId="0" borderId="17" xfId="5" applyFont="1" applyBorder="1">
      <alignment horizontal="left"/>
    </xf>
    <xf numFmtId="0" fontId="1" fillId="0" borderId="18" xfId="4" applyBorder="1"/>
    <xf numFmtId="0" fontId="0" fillId="0" borderId="0" xfId="0" applyBorder="1" applyAlignment="1">
      <alignment vertical="top"/>
    </xf>
    <xf numFmtId="0" fontId="0" fillId="0" borderId="0" xfId="0" applyBorder="1" applyAlignment="1">
      <alignment vertical="center"/>
    </xf>
    <xf numFmtId="0" fontId="2" fillId="0" borderId="0" xfId="0" applyFont="1" applyAlignment="1"/>
    <xf numFmtId="0" fontId="9" fillId="0" borderId="0" xfId="0" applyFont="1" applyAlignment="1">
      <alignment horizontal="right"/>
    </xf>
    <xf numFmtId="0" fontId="4" fillId="2" borderId="2" xfId="7" applyFont="1" applyBorder="1" applyAlignment="1" applyProtection="1">
      <alignment horizontal="left" wrapText="1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0" fillId="0" borderId="7" xfId="0" applyFont="1" applyBorder="1" applyAlignment="1">
      <alignment vertical="top" wrapText="1"/>
    </xf>
    <xf numFmtId="0" fontId="0" fillId="0" borderId="0" xfId="0" applyBorder="1" applyAlignment="1">
      <alignment horizontal="center" vertical="center"/>
    </xf>
    <xf numFmtId="0" fontId="0" fillId="10" borderId="2" xfId="0" applyFont="1" applyFill="1" applyBorder="1"/>
    <xf numFmtId="0" fontId="0" fillId="0" borderId="7" xfId="0" applyFont="1" applyBorder="1"/>
    <xf numFmtId="0" fontId="0" fillId="0" borderId="7" xfId="0" applyFont="1" applyBorder="1" applyAlignment="1">
      <alignment vertical="top"/>
    </xf>
    <xf numFmtId="0" fontId="0" fillId="10" borderId="0" xfId="0" applyFont="1" applyFill="1" applyBorder="1"/>
    <xf numFmtId="0" fontId="0" fillId="0" borderId="0" xfId="0" applyFont="1" applyBorder="1"/>
    <xf numFmtId="0" fontId="0" fillId="11" borderId="2" xfId="0" applyFont="1" applyFill="1" applyBorder="1" applyAlignment="1">
      <alignment vertical="center" wrapText="1"/>
    </xf>
    <xf numFmtId="0" fontId="0" fillId="11" borderId="2" xfId="0" applyFill="1" applyBorder="1" applyAlignment="1">
      <alignment horizontal="center" vertical="center"/>
    </xf>
    <xf numFmtId="0" fontId="0" fillId="11" borderId="2" xfId="0" applyFont="1" applyFill="1" applyBorder="1" applyAlignment="1">
      <alignment horizontal="center" vertical="center" wrapText="1"/>
    </xf>
    <xf numFmtId="0" fontId="0" fillId="11" borderId="7" xfId="0" applyFont="1" applyFill="1" applyBorder="1" applyAlignment="1">
      <alignment vertical="top" wrapText="1"/>
    </xf>
    <xf numFmtId="0" fontId="0" fillId="12" borderId="2" xfId="0" applyFont="1" applyFill="1" applyBorder="1" applyAlignment="1">
      <alignment vertical="center" wrapText="1"/>
    </xf>
    <xf numFmtId="0" fontId="0" fillId="12" borderId="2" xfId="0" applyFill="1" applyBorder="1" applyAlignment="1">
      <alignment horizontal="center" vertical="center"/>
    </xf>
    <xf numFmtId="0" fontId="0" fillId="12" borderId="2" xfId="0" applyFont="1" applyFill="1" applyBorder="1" applyAlignment="1">
      <alignment horizontal="center" vertical="center" wrapText="1"/>
    </xf>
    <xf numFmtId="0" fontId="0" fillId="13" borderId="2" xfId="0" applyFont="1" applyFill="1" applyBorder="1" applyAlignment="1">
      <alignment vertical="center" wrapText="1"/>
    </xf>
    <xf numFmtId="0" fontId="0" fillId="13" borderId="2" xfId="0" applyFill="1" applyBorder="1" applyAlignment="1">
      <alignment horizontal="center" vertical="center"/>
    </xf>
    <xf numFmtId="0" fontId="2" fillId="0" borderId="0" xfId="0" applyFont="1" applyBorder="1" applyAlignment="1">
      <alignment horizontal="right"/>
    </xf>
    <xf numFmtId="0" fontId="4" fillId="2" borderId="4" xfId="7" applyFont="1" applyBorder="1" applyAlignment="1" applyProtection="1">
      <alignment horizontal="left"/>
    </xf>
    <xf numFmtId="0" fontId="4" fillId="2" borderId="2" xfId="7" applyFont="1" applyBorder="1" applyAlignment="1" applyProtection="1">
      <alignment horizontal="left"/>
    </xf>
    <xf numFmtId="0" fontId="4" fillId="2" borderId="9" xfId="7" applyFont="1" applyBorder="1" applyAlignment="1" applyProtection="1">
      <alignment horizontal="left"/>
    </xf>
    <xf numFmtId="0" fontId="0" fillId="0" borderId="2" xfId="0" applyFont="1" applyBorder="1" applyAlignment="1">
      <alignment horizontal="center" vertical="center"/>
    </xf>
    <xf numFmtId="0" fontId="0" fillId="1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11" borderId="2" xfId="0" applyFont="1" applyFill="1" applyBorder="1" applyAlignment="1">
      <alignment horizontal="center" vertical="center"/>
    </xf>
    <xf numFmtId="0" fontId="0" fillId="11" borderId="2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14" borderId="0" xfId="0" applyFill="1" applyBorder="1" applyAlignment="1">
      <alignment horizontal="center" vertical="center"/>
    </xf>
    <xf numFmtId="0" fontId="0" fillId="14" borderId="0" xfId="0" applyFill="1"/>
    <xf numFmtId="0" fontId="0" fillId="14" borderId="2" xfId="0" applyFont="1" applyFill="1" applyBorder="1"/>
    <xf numFmtId="0" fontId="0" fillId="15" borderId="2" xfId="0" applyFont="1" applyFill="1" applyBorder="1"/>
    <xf numFmtId="0" fontId="0" fillId="14" borderId="0" xfId="0" applyFill="1" applyBorder="1"/>
    <xf numFmtId="0" fontId="0" fillId="12" borderId="7" xfId="0" applyFont="1" applyFill="1" applyBorder="1" applyAlignment="1">
      <alignment vertical="top" wrapText="1"/>
    </xf>
  </cellXfs>
  <cellStyles count="10">
    <cellStyle name="Excel Built-in Accent1" xfId="9"/>
    <cellStyle name="Excel Built-in Accent5" xfId="7"/>
    <cellStyle name="Excel Built-in Check Cell" xfId="8"/>
    <cellStyle name="Normal" xfId="0" builtinId="0"/>
    <cellStyle name="Pivot Table Category" xfId="1"/>
    <cellStyle name="Pivot Table Corner" xfId="2"/>
    <cellStyle name="Pivot Table Field" xfId="3"/>
    <cellStyle name="Pivot Table Result" xfId="4"/>
    <cellStyle name="Pivot Table Title" xfId="5"/>
    <cellStyle name="Pivot Table Value" xfId="6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B9BD5"/>
      <rgbColor rgb="FFA6A6A6"/>
      <rgbColor rgb="FF993366"/>
      <rgbColor rgb="FFFFFFCC"/>
      <rgbColor rgb="FFCCFFFF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201600</xdr:colOff>
      <xdr:row>0</xdr:row>
      <xdr:rowOff>22320</xdr:rowOff>
    </xdr:from>
    <xdr:to>
      <xdr:col>0</xdr:col>
      <xdr:colOff>1434600</xdr:colOff>
      <xdr:row>1</xdr:row>
      <xdr:rowOff>111960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201600" y="22320"/>
          <a:ext cx="1233000" cy="280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201600</xdr:colOff>
      <xdr:row>0</xdr:row>
      <xdr:rowOff>22320</xdr:rowOff>
    </xdr:from>
    <xdr:to>
      <xdr:col>0</xdr:col>
      <xdr:colOff>1434600</xdr:colOff>
      <xdr:row>1</xdr:row>
      <xdr:rowOff>111960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201600" y="22320"/>
          <a:ext cx="1233000" cy="280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201600</xdr:colOff>
      <xdr:row>0</xdr:row>
      <xdr:rowOff>22320</xdr:rowOff>
    </xdr:from>
    <xdr:to>
      <xdr:col>2</xdr:col>
      <xdr:colOff>1167</xdr:colOff>
      <xdr:row>1</xdr:row>
      <xdr:rowOff>117720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201600" y="22320"/>
          <a:ext cx="1762560" cy="266760"/>
        </a:xfrm>
        <a:prstGeom prst="rect">
          <a:avLst/>
        </a:prstGeom>
        <a:ln w="0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Date="0" createdVersion="3" recordCount="36">
  <cacheSource type="worksheet">
    <worksheetSource ref="G13:R49" sheet="Sprint25-Task Estimation"/>
  </cacheSource>
  <cacheFields count="12">
    <cacheField name="Hours" numFmtId="0">
      <sharedItems containsString="0" containsBlank="1" containsNumber="1" containsInteger="1" minValue="1" maxValue="22" count="10">
        <n v="1"/>
        <n v="2"/>
        <n v="3"/>
        <n v="4"/>
        <n v="6"/>
        <n v="8"/>
        <n v="10"/>
        <n v="11"/>
        <n v="22"/>
        <m/>
      </sharedItems>
    </cacheField>
    <cacheField name="Resource" numFmtId="0">
      <sharedItems containsBlank="1" count="6">
        <s v="Balaji k"/>
        <s v="Ijas"/>
        <s v="Muthu"/>
        <s v="Pradeep"/>
        <s v="Ravi"/>
        <m/>
      </sharedItems>
    </cacheField>
    <cacheField name="Story Point" numFmtId="0">
      <sharedItems containsString="0" containsBlank="1" count="1">
        <m/>
      </sharedItems>
    </cacheField>
    <cacheField name="Column J" numFmtId="0">
      <sharedItems containsString="0" containsBlank="1" count="1">
        <m/>
      </sharedItems>
    </cacheField>
    <cacheField name="Column K" numFmtId="0">
      <sharedItems containsString="0" containsBlank="1" count="1">
        <m/>
      </sharedItems>
    </cacheField>
    <cacheField name="Column L" numFmtId="0">
      <sharedItems containsString="0" containsBlank="1" count="1">
        <m/>
      </sharedItems>
    </cacheField>
    <cacheField name="Column M" numFmtId="0">
      <sharedItems containsString="0" containsBlank="1" count="1">
        <m/>
      </sharedItems>
    </cacheField>
    <cacheField name="Column N" numFmtId="0">
      <sharedItems containsString="0" containsBlank="1" count="1">
        <m/>
      </sharedItems>
    </cacheField>
    <cacheField name="Column O" numFmtId="0">
      <sharedItems containsString="0" containsBlank="1" count="1">
        <m/>
      </sharedItems>
    </cacheField>
    <cacheField name="Column P" numFmtId="0">
      <sharedItems containsString="0" containsBlank="1" containsNumber="1" containsInteger="1" minValue="320" maxValue="320" count="2">
        <n v="320"/>
        <m/>
      </sharedItems>
    </cacheField>
    <cacheField name="Column Q" numFmtId="0">
      <sharedItems containsString="0" containsBlank="1" count="1">
        <m/>
      </sharedItems>
    </cacheField>
    <cacheField name="Resource2" numFmtId="0">
      <sharedItems containsBlank="1" count="10">
        <s v="Manikandan"/>
        <s v="MuthulakshmiA"/>
        <s v="Nihal"/>
        <s v="Pradeep"/>
        <s v="Raviraj"/>
        <s v="Saravana Muthu T"/>
        <s v="Saravanan P"/>
        <s v="Sivachandran"/>
        <s v="Sivasankara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x v="2"/>
    <x v="1"/>
    <x v="0"/>
    <x v="0"/>
    <x v="0"/>
    <x v="0"/>
    <x v="0"/>
    <x v="0"/>
    <x v="0"/>
    <x v="0"/>
    <x v="0"/>
    <x v="0"/>
  </r>
  <r>
    <x v="0"/>
    <x v="2"/>
    <x v="0"/>
    <x v="0"/>
    <x v="0"/>
    <x v="0"/>
    <x v="0"/>
    <x v="0"/>
    <x v="0"/>
    <x v="1"/>
    <x v="0"/>
    <x v="1"/>
  </r>
  <r>
    <x v="3"/>
    <x v="1"/>
    <x v="0"/>
    <x v="0"/>
    <x v="0"/>
    <x v="0"/>
    <x v="0"/>
    <x v="0"/>
    <x v="0"/>
    <x v="1"/>
    <x v="0"/>
    <x v="9"/>
  </r>
  <r>
    <x v="9"/>
    <x v="5"/>
    <x v="0"/>
    <x v="0"/>
    <x v="0"/>
    <x v="0"/>
    <x v="0"/>
    <x v="0"/>
    <x v="0"/>
    <x v="1"/>
    <x v="0"/>
    <x v="9"/>
  </r>
  <r>
    <x v="6"/>
    <x v="1"/>
    <x v="0"/>
    <x v="0"/>
    <x v="0"/>
    <x v="0"/>
    <x v="0"/>
    <x v="0"/>
    <x v="0"/>
    <x v="1"/>
    <x v="0"/>
    <x v="8"/>
  </r>
  <r>
    <x v="1"/>
    <x v="2"/>
    <x v="0"/>
    <x v="0"/>
    <x v="0"/>
    <x v="0"/>
    <x v="0"/>
    <x v="0"/>
    <x v="0"/>
    <x v="1"/>
    <x v="0"/>
    <x v="6"/>
  </r>
  <r>
    <x v="1"/>
    <x v="1"/>
    <x v="0"/>
    <x v="0"/>
    <x v="0"/>
    <x v="0"/>
    <x v="0"/>
    <x v="0"/>
    <x v="0"/>
    <x v="1"/>
    <x v="0"/>
    <x v="3"/>
  </r>
  <r>
    <x v="0"/>
    <x v="2"/>
    <x v="0"/>
    <x v="0"/>
    <x v="0"/>
    <x v="0"/>
    <x v="0"/>
    <x v="0"/>
    <x v="0"/>
    <x v="1"/>
    <x v="0"/>
    <x v="6"/>
  </r>
  <r>
    <x v="2"/>
    <x v="1"/>
    <x v="0"/>
    <x v="0"/>
    <x v="0"/>
    <x v="0"/>
    <x v="0"/>
    <x v="0"/>
    <x v="0"/>
    <x v="1"/>
    <x v="0"/>
    <x v="3"/>
  </r>
  <r>
    <x v="4"/>
    <x v="4"/>
    <x v="0"/>
    <x v="0"/>
    <x v="0"/>
    <x v="0"/>
    <x v="0"/>
    <x v="0"/>
    <x v="0"/>
    <x v="1"/>
    <x v="0"/>
    <x v="3"/>
  </r>
  <r>
    <x v="1"/>
    <x v="2"/>
    <x v="0"/>
    <x v="0"/>
    <x v="0"/>
    <x v="0"/>
    <x v="0"/>
    <x v="0"/>
    <x v="0"/>
    <x v="1"/>
    <x v="0"/>
    <x v="5"/>
  </r>
  <r>
    <x v="4"/>
    <x v="4"/>
    <x v="0"/>
    <x v="0"/>
    <x v="0"/>
    <x v="0"/>
    <x v="0"/>
    <x v="0"/>
    <x v="0"/>
    <x v="1"/>
    <x v="0"/>
    <x v="3"/>
  </r>
  <r>
    <x v="2"/>
    <x v="1"/>
    <x v="0"/>
    <x v="0"/>
    <x v="0"/>
    <x v="0"/>
    <x v="0"/>
    <x v="0"/>
    <x v="0"/>
    <x v="1"/>
    <x v="0"/>
    <x v="0"/>
  </r>
  <r>
    <x v="0"/>
    <x v="2"/>
    <x v="0"/>
    <x v="0"/>
    <x v="0"/>
    <x v="0"/>
    <x v="0"/>
    <x v="0"/>
    <x v="0"/>
    <x v="1"/>
    <x v="0"/>
    <x v="1"/>
  </r>
  <r>
    <x v="3"/>
    <x v="1"/>
    <x v="0"/>
    <x v="0"/>
    <x v="0"/>
    <x v="0"/>
    <x v="0"/>
    <x v="0"/>
    <x v="0"/>
    <x v="1"/>
    <x v="0"/>
    <x v="9"/>
  </r>
  <r>
    <x v="9"/>
    <x v="5"/>
    <x v="0"/>
    <x v="0"/>
    <x v="0"/>
    <x v="0"/>
    <x v="0"/>
    <x v="0"/>
    <x v="0"/>
    <x v="1"/>
    <x v="0"/>
    <x v="9"/>
  </r>
  <r>
    <x v="6"/>
    <x v="1"/>
    <x v="0"/>
    <x v="0"/>
    <x v="0"/>
    <x v="0"/>
    <x v="0"/>
    <x v="0"/>
    <x v="0"/>
    <x v="1"/>
    <x v="0"/>
    <x v="7"/>
  </r>
  <r>
    <x v="1"/>
    <x v="2"/>
    <x v="0"/>
    <x v="0"/>
    <x v="0"/>
    <x v="0"/>
    <x v="0"/>
    <x v="0"/>
    <x v="0"/>
    <x v="1"/>
    <x v="0"/>
    <x v="6"/>
  </r>
  <r>
    <x v="1"/>
    <x v="1"/>
    <x v="0"/>
    <x v="0"/>
    <x v="0"/>
    <x v="0"/>
    <x v="0"/>
    <x v="0"/>
    <x v="0"/>
    <x v="1"/>
    <x v="0"/>
    <x v="3"/>
  </r>
  <r>
    <x v="0"/>
    <x v="2"/>
    <x v="0"/>
    <x v="0"/>
    <x v="0"/>
    <x v="0"/>
    <x v="0"/>
    <x v="0"/>
    <x v="0"/>
    <x v="1"/>
    <x v="0"/>
    <x v="1"/>
  </r>
  <r>
    <x v="2"/>
    <x v="1"/>
    <x v="0"/>
    <x v="0"/>
    <x v="0"/>
    <x v="0"/>
    <x v="0"/>
    <x v="0"/>
    <x v="0"/>
    <x v="1"/>
    <x v="0"/>
    <x v="3"/>
  </r>
  <r>
    <x v="4"/>
    <x v="3"/>
    <x v="0"/>
    <x v="0"/>
    <x v="0"/>
    <x v="0"/>
    <x v="0"/>
    <x v="0"/>
    <x v="0"/>
    <x v="1"/>
    <x v="0"/>
    <x v="3"/>
  </r>
  <r>
    <x v="1"/>
    <x v="2"/>
    <x v="0"/>
    <x v="0"/>
    <x v="0"/>
    <x v="0"/>
    <x v="0"/>
    <x v="0"/>
    <x v="0"/>
    <x v="1"/>
    <x v="0"/>
    <x v="5"/>
  </r>
  <r>
    <x v="4"/>
    <x v="3"/>
    <x v="0"/>
    <x v="0"/>
    <x v="0"/>
    <x v="0"/>
    <x v="0"/>
    <x v="0"/>
    <x v="0"/>
    <x v="1"/>
    <x v="0"/>
    <x v="3"/>
  </r>
  <r>
    <x v="3"/>
    <x v="0"/>
    <x v="0"/>
    <x v="0"/>
    <x v="0"/>
    <x v="0"/>
    <x v="0"/>
    <x v="0"/>
    <x v="0"/>
    <x v="1"/>
    <x v="0"/>
    <x v="0"/>
  </r>
  <r>
    <x v="1"/>
    <x v="2"/>
    <x v="0"/>
    <x v="0"/>
    <x v="0"/>
    <x v="0"/>
    <x v="0"/>
    <x v="0"/>
    <x v="0"/>
    <x v="1"/>
    <x v="0"/>
    <x v="1"/>
  </r>
  <r>
    <x v="9"/>
    <x v="5"/>
    <x v="0"/>
    <x v="0"/>
    <x v="0"/>
    <x v="0"/>
    <x v="0"/>
    <x v="0"/>
    <x v="0"/>
    <x v="1"/>
    <x v="0"/>
    <x v="9"/>
  </r>
  <r>
    <x v="9"/>
    <x v="5"/>
    <x v="0"/>
    <x v="0"/>
    <x v="0"/>
    <x v="0"/>
    <x v="0"/>
    <x v="0"/>
    <x v="0"/>
    <x v="1"/>
    <x v="0"/>
    <x v="9"/>
  </r>
  <r>
    <x v="8"/>
    <x v="0"/>
    <x v="0"/>
    <x v="0"/>
    <x v="0"/>
    <x v="0"/>
    <x v="0"/>
    <x v="0"/>
    <x v="0"/>
    <x v="1"/>
    <x v="0"/>
    <x v="2"/>
  </r>
  <r>
    <x v="1"/>
    <x v="2"/>
    <x v="0"/>
    <x v="0"/>
    <x v="0"/>
    <x v="0"/>
    <x v="0"/>
    <x v="0"/>
    <x v="0"/>
    <x v="1"/>
    <x v="0"/>
    <x v="6"/>
  </r>
  <r>
    <x v="3"/>
    <x v="0"/>
    <x v="0"/>
    <x v="0"/>
    <x v="0"/>
    <x v="0"/>
    <x v="0"/>
    <x v="0"/>
    <x v="0"/>
    <x v="1"/>
    <x v="0"/>
    <x v="4"/>
  </r>
  <r>
    <x v="1"/>
    <x v="2"/>
    <x v="0"/>
    <x v="0"/>
    <x v="0"/>
    <x v="0"/>
    <x v="0"/>
    <x v="0"/>
    <x v="0"/>
    <x v="1"/>
    <x v="0"/>
    <x v="6"/>
  </r>
  <r>
    <x v="2"/>
    <x v="0"/>
    <x v="0"/>
    <x v="0"/>
    <x v="0"/>
    <x v="0"/>
    <x v="0"/>
    <x v="0"/>
    <x v="0"/>
    <x v="1"/>
    <x v="0"/>
    <x v="4"/>
  </r>
  <r>
    <x v="5"/>
    <x v="3"/>
    <x v="0"/>
    <x v="0"/>
    <x v="0"/>
    <x v="0"/>
    <x v="0"/>
    <x v="0"/>
    <x v="0"/>
    <x v="1"/>
    <x v="0"/>
    <x v="4"/>
  </r>
  <r>
    <x v="1"/>
    <x v="2"/>
    <x v="0"/>
    <x v="0"/>
    <x v="0"/>
    <x v="0"/>
    <x v="0"/>
    <x v="0"/>
    <x v="0"/>
    <x v="1"/>
    <x v="0"/>
    <x v="5"/>
  </r>
  <r>
    <x v="7"/>
    <x v="3"/>
    <x v="0"/>
    <x v="0"/>
    <x v="0"/>
    <x v="0"/>
    <x v="0"/>
    <x v="0"/>
    <x v="0"/>
    <x v="1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0" dataCaption="Values" itemPrintTitles="1" indent="0" compact="0" outline="1" outlineData="1" compactData="0">
  <location ref="A3:B5" firstHeaderRow="1" firstDataRow="1" firstDataCol="1"/>
  <pivotFields count="12">
    <pivotField dataField="1" compact="0" showAll="0"/>
    <pivotField compact="0" showAll="0"/>
    <pivotField axis="axisRow"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dataFields count="1">
    <dataField name="Sum of Hours" fld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zoomScale="85" zoomScaleNormal="85" workbookViewId="0">
      <selection activeCell="D20" sqref="D20"/>
    </sheetView>
  </sheetViews>
  <sheetFormatPr defaultColWidth="25.140625" defaultRowHeight="15" x14ac:dyDescent="0.25"/>
  <cols>
    <col min="1" max="1" width="25.5703125" customWidth="1"/>
    <col min="2" max="2" width="24" customWidth="1"/>
    <col min="3" max="3" width="14.42578125" customWidth="1"/>
    <col min="5" max="5" width="24.5703125" customWidth="1"/>
    <col min="6" max="6" width="22.42578125" customWidth="1"/>
  </cols>
  <sheetData>
    <row r="1" spans="1:9" s="2" customFormat="1" ht="15" customHeight="1" x14ac:dyDescent="0.2">
      <c r="A1" s="65" t="s">
        <v>0</v>
      </c>
      <c r="B1" s="65"/>
      <c r="C1" s="65"/>
      <c r="D1" s="65"/>
      <c r="E1" s="65"/>
      <c r="F1" s="65"/>
      <c r="G1" s="1"/>
      <c r="H1" s="1"/>
      <c r="I1" s="1"/>
    </row>
    <row r="2" spans="1:9" s="2" customFormat="1" ht="14.25" x14ac:dyDescent="0.2">
      <c r="A2" s="65"/>
      <c r="B2" s="65"/>
      <c r="C2" s="65"/>
      <c r="D2" s="65"/>
      <c r="E2" s="65"/>
      <c r="F2" s="65"/>
      <c r="G2" s="1"/>
      <c r="H2" s="3"/>
      <c r="I2" s="1"/>
    </row>
    <row r="3" spans="1:9" s="2" customFormat="1" ht="14.25" x14ac:dyDescent="0.2">
      <c r="B3" s="1"/>
      <c r="C3" s="1"/>
      <c r="D3" s="1"/>
      <c r="E3" s="1"/>
      <c r="F3" s="1"/>
      <c r="G3" s="1"/>
      <c r="H3" s="3"/>
      <c r="I3" s="1"/>
    </row>
    <row r="4" spans="1:9" x14ac:dyDescent="0.25">
      <c r="A4" s="4" t="s">
        <v>1</v>
      </c>
      <c r="B4" s="4" t="s">
        <v>2</v>
      </c>
      <c r="C4" s="5"/>
      <c r="D4" s="5"/>
      <c r="E4" s="5"/>
      <c r="F4" s="5"/>
    </row>
    <row r="5" spans="1:9" ht="31.5" x14ac:dyDescent="0.25">
      <c r="A5" s="6" t="s">
        <v>3</v>
      </c>
      <c r="B5" s="7">
        <v>10</v>
      </c>
      <c r="C5" s="6" t="s">
        <v>4</v>
      </c>
      <c r="D5" s="8">
        <v>45292</v>
      </c>
      <c r="E5" s="6" t="s">
        <v>5</v>
      </c>
      <c r="F5" s="8">
        <v>45306</v>
      </c>
    </row>
    <row r="7" spans="1:9" x14ac:dyDescent="0.25">
      <c r="A7" s="66" t="s">
        <v>6</v>
      </c>
      <c r="B7" s="66"/>
      <c r="C7" s="66"/>
      <c r="D7" s="66"/>
      <c r="E7" s="66"/>
    </row>
    <row r="8" spans="1:9" x14ac:dyDescent="0.25">
      <c r="A8" s="9" t="s">
        <v>7</v>
      </c>
      <c r="B8" s="10" t="s">
        <v>8</v>
      </c>
      <c r="C8" s="11" t="s">
        <v>9</v>
      </c>
      <c r="D8" s="11" t="s">
        <v>10</v>
      </c>
      <c r="E8" s="12" t="s">
        <v>11</v>
      </c>
      <c r="G8" s="13"/>
    </row>
    <row r="9" spans="1:9" x14ac:dyDescent="0.25">
      <c r="A9" s="14" t="s">
        <v>12</v>
      </c>
      <c r="B9" s="15">
        <v>80</v>
      </c>
      <c r="C9" s="14">
        <v>40</v>
      </c>
      <c r="D9" s="14"/>
      <c r="E9" s="15">
        <f>(B9*C9/100)-D9</f>
        <v>32</v>
      </c>
      <c r="F9" s="13"/>
      <c r="G9" s="13"/>
    </row>
    <row r="10" spans="1:9" x14ac:dyDescent="0.25">
      <c r="A10" s="14" t="s">
        <v>13</v>
      </c>
      <c r="B10" s="15">
        <v>80</v>
      </c>
      <c r="C10" s="14">
        <v>55</v>
      </c>
      <c r="D10" s="14"/>
      <c r="E10" s="15">
        <f>(B10*C10/100)-D10</f>
        <v>44</v>
      </c>
    </row>
    <row r="11" spans="1:9" x14ac:dyDescent="0.25">
      <c r="A11" s="14" t="s">
        <v>14</v>
      </c>
      <c r="B11" s="15">
        <v>80</v>
      </c>
      <c r="C11" s="14">
        <v>60</v>
      </c>
      <c r="D11" s="14"/>
      <c r="E11" s="15">
        <f>(B11*C11/100)-D11</f>
        <v>48</v>
      </c>
    </row>
    <row r="12" spans="1:9" x14ac:dyDescent="0.25">
      <c r="A12" s="16" t="s">
        <v>15</v>
      </c>
      <c r="B12" s="15">
        <v>80</v>
      </c>
      <c r="C12" s="14">
        <v>80</v>
      </c>
      <c r="D12" s="14"/>
      <c r="E12" s="15">
        <f>(B12*C12/100)-D12</f>
        <v>64</v>
      </c>
    </row>
    <row r="13" spans="1:9" x14ac:dyDescent="0.25">
      <c r="A13" s="14"/>
      <c r="B13" s="15"/>
      <c r="C13" s="14"/>
      <c r="D13" s="14"/>
      <c r="E13" s="15"/>
    </row>
    <row r="14" spans="1:9" x14ac:dyDescent="0.25">
      <c r="A14" s="14" t="s">
        <v>16</v>
      </c>
      <c r="B14" s="15">
        <v>80</v>
      </c>
      <c r="C14" s="14">
        <v>65</v>
      </c>
      <c r="D14" s="14"/>
      <c r="E14" s="15">
        <f>(B14*C14/100)-D14</f>
        <v>52</v>
      </c>
    </row>
    <row r="15" spans="1:9" x14ac:dyDescent="0.25">
      <c r="A15" s="14" t="s">
        <v>17</v>
      </c>
      <c r="B15" s="15">
        <v>80</v>
      </c>
      <c r="C15" s="14">
        <v>50</v>
      </c>
      <c r="D15" s="14"/>
      <c r="E15" s="15">
        <f>(B15*C15/100)-D15</f>
        <v>40</v>
      </c>
    </row>
    <row r="16" spans="1:9" x14ac:dyDescent="0.25">
      <c r="A16" s="17" t="s">
        <v>18</v>
      </c>
      <c r="B16" s="18"/>
      <c r="C16" s="19"/>
      <c r="D16" s="20">
        <f>SUM(D9:D13)</f>
        <v>0</v>
      </c>
      <c r="E16" s="21">
        <f>SUM(E9:E15)</f>
        <v>280</v>
      </c>
    </row>
    <row r="17" spans="1:6" x14ac:dyDescent="0.25">
      <c r="A17" s="22"/>
      <c r="B17" s="22"/>
      <c r="C17" s="23"/>
      <c r="D17" s="23"/>
      <c r="E17" s="24"/>
      <c r="F17" s="24"/>
    </row>
    <row r="18" spans="1:6" x14ac:dyDescent="0.25">
      <c r="A18" s="67" t="s">
        <v>19</v>
      </c>
      <c r="B18" s="67"/>
      <c r="C18" s="67"/>
      <c r="D18" s="67"/>
    </row>
    <row r="19" spans="1:6" x14ac:dyDescent="0.25">
      <c r="A19" s="25" t="s">
        <v>20</v>
      </c>
      <c r="B19" s="25" t="s">
        <v>21</v>
      </c>
      <c r="C19" s="26" t="s">
        <v>22</v>
      </c>
      <c r="D19" s="26" t="s">
        <v>23</v>
      </c>
    </row>
    <row r="20" spans="1:6" x14ac:dyDescent="0.25">
      <c r="A20" s="15">
        <v>277.8</v>
      </c>
      <c r="B20" s="27">
        <f>A20/E16*100</f>
        <v>99.214285714285722</v>
      </c>
      <c r="C20" s="14">
        <v>24</v>
      </c>
      <c r="D20" s="14">
        <v>6</v>
      </c>
    </row>
  </sheetData>
  <mergeCells count="3">
    <mergeCell ref="A1:F2"/>
    <mergeCell ref="A7:E7"/>
    <mergeCell ref="A18:D18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opLeftCell="A10" zoomScale="85" zoomScaleNormal="85" workbookViewId="0">
      <selection activeCell="C33" sqref="C33"/>
    </sheetView>
  </sheetViews>
  <sheetFormatPr defaultColWidth="8.5703125" defaultRowHeight="15" x14ac:dyDescent="0.25"/>
  <cols>
    <col min="1" max="1" width="22.85546875" customWidth="1"/>
    <col min="2" max="2" width="21.5703125" customWidth="1"/>
    <col min="3" max="3" width="14.140625" customWidth="1"/>
    <col min="4" max="4" width="17" customWidth="1"/>
    <col min="5" max="5" width="16.5703125" customWidth="1"/>
    <col min="6" max="8" width="12.140625" customWidth="1"/>
    <col min="9" max="9" width="13.28515625" customWidth="1"/>
    <col min="10" max="10" width="15.85546875" customWidth="1"/>
    <col min="1024" max="1024" width="9.140625" customWidth="1"/>
  </cols>
  <sheetData>
    <row r="1" spans="1:9" s="2" customFormat="1" ht="15" customHeight="1" x14ac:dyDescent="0.2">
      <c r="A1" s="65" t="s">
        <v>24</v>
      </c>
      <c r="B1" s="65"/>
      <c r="C1" s="65"/>
      <c r="D1" s="65"/>
      <c r="E1" s="65"/>
      <c r="F1" s="65"/>
      <c r="G1" s="65"/>
      <c r="H1" s="65"/>
      <c r="I1" s="65"/>
    </row>
    <row r="2" spans="1:9" s="2" customFormat="1" ht="14.25" x14ac:dyDescent="0.2">
      <c r="A2" s="65"/>
      <c r="B2" s="65"/>
      <c r="C2" s="65"/>
      <c r="D2" s="65"/>
      <c r="E2" s="65"/>
      <c r="F2" s="65"/>
      <c r="G2" s="65"/>
      <c r="H2" s="65"/>
      <c r="I2" s="65"/>
    </row>
    <row r="3" spans="1:9" s="2" customFormat="1" ht="14.25" x14ac:dyDescent="0.2">
      <c r="A3" s="28"/>
      <c r="B3" s="28"/>
      <c r="C3" s="28"/>
      <c r="D3" s="28"/>
      <c r="E3" s="28"/>
      <c r="F3" s="28"/>
      <c r="G3" s="28"/>
      <c r="H3" s="1"/>
    </row>
    <row r="4" spans="1:9" x14ac:dyDescent="0.25">
      <c r="A4" s="68" t="s">
        <v>24</v>
      </c>
      <c r="B4" s="68"/>
      <c r="C4" s="68"/>
      <c r="D4" s="68"/>
      <c r="E4" s="68"/>
      <c r="F4" s="68"/>
      <c r="G4" s="68"/>
      <c r="H4" s="68"/>
      <c r="I4" s="68"/>
    </row>
    <row r="5" spans="1:9" x14ac:dyDescent="0.25">
      <c r="A5" s="11" t="s">
        <v>25</v>
      </c>
      <c r="B5" s="29" t="s">
        <v>12</v>
      </c>
      <c r="C5" s="9" t="s">
        <v>13</v>
      </c>
      <c r="D5" s="9" t="s">
        <v>26</v>
      </c>
      <c r="E5" s="9" t="s">
        <v>27</v>
      </c>
      <c r="F5" s="9" t="s">
        <v>16</v>
      </c>
      <c r="G5" s="9" t="s">
        <v>28</v>
      </c>
      <c r="H5" s="30" t="s">
        <v>29</v>
      </c>
      <c r="I5" s="30" t="s">
        <v>30</v>
      </c>
    </row>
    <row r="6" spans="1:9" x14ac:dyDescent="0.25">
      <c r="A6" s="14" t="s">
        <v>31</v>
      </c>
      <c r="B6" s="14"/>
      <c r="C6" s="14"/>
      <c r="D6" s="14"/>
      <c r="E6" s="14"/>
      <c r="F6" s="14"/>
      <c r="G6" s="14"/>
      <c r="H6" s="14">
        <v>3</v>
      </c>
      <c r="I6" s="14">
        <v>20</v>
      </c>
    </row>
    <row r="7" spans="1:9" x14ac:dyDescent="0.25">
      <c r="A7" s="14" t="s">
        <v>32</v>
      </c>
      <c r="B7" s="14"/>
      <c r="C7" s="14"/>
      <c r="D7" s="14"/>
      <c r="E7" s="14"/>
      <c r="F7" s="14"/>
      <c r="G7" s="14"/>
      <c r="H7" s="14">
        <v>3</v>
      </c>
      <c r="I7" s="14">
        <v>20</v>
      </c>
    </row>
    <row r="8" spans="1:9" x14ac:dyDescent="0.25">
      <c r="A8" s="14" t="s">
        <v>33</v>
      </c>
      <c r="B8" s="14"/>
      <c r="C8" s="14"/>
      <c r="D8" s="14"/>
      <c r="E8" s="14"/>
      <c r="F8" s="14"/>
      <c r="G8" s="14"/>
      <c r="H8" s="14">
        <v>8</v>
      </c>
      <c r="I8" s="14">
        <v>80</v>
      </c>
    </row>
    <row r="9" spans="1:9" x14ac:dyDescent="0.25">
      <c r="A9" s="14" t="s">
        <v>34</v>
      </c>
      <c r="B9" s="14"/>
      <c r="C9" s="14"/>
      <c r="D9" s="14"/>
      <c r="E9" s="14"/>
      <c r="F9" s="14"/>
      <c r="G9" s="14"/>
      <c r="H9" s="14">
        <v>5</v>
      </c>
      <c r="I9" s="14">
        <v>40</v>
      </c>
    </row>
    <row r="10" spans="1:9" x14ac:dyDescent="0.25">
      <c r="A10" s="14" t="s">
        <v>35</v>
      </c>
      <c r="B10" s="14"/>
      <c r="C10" s="14"/>
      <c r="D10" s="14"/>
      <c r="E10" s="14"/>
      <c r="F10" s="14"/>
      <c r="G10" s="14"/>
      <c r="H10" s="14">
        <v>8</v>
      </c>
      <c r="I10" s="14">
        <v>80</v>
      </c>
    </row>
    <row r="11" spans="1:9" x14ac:dyDescent="0.25">
      <c r="A11" s="14" t="s">
        <v>36</v>
      </c>
      <c r="B11" s="14"/>
      <c r="C11" s="14"/>
      <c r="D11" s="14"/>
      <c r="E11" s="14"/>
      <c r="F11" s="14"/>
      <c r="G11" s="14"/>
      <c r="H11" s="14">
        <v>5</v>
      </c>
      <c r="I11" s="14">
        <v>40</v>
      </c>
    </row>
    <row r="12" spans="1:9" x14ac:dyDescent="0.25">
      <c r="A12" s="14"/>
      <c r="B12" s="14"/>
      <c r="C12" s="14"/>
      <c r="D12" s="14"/>
      <c r="E12" s="14"/>
      <c r="F12" s="14"/>
      <c r="G12" s="14"/>
      <c r="H12" s="14"/>
      <c r="I12" s="14"/>
    </row>
    <row r="13" spans="1:9" x14ac:dyDescent="0.25">
      <c r="A13" s="14"/>
      <c r="B13" s="14"/>
      <c r="C13" s="14"/>
      <c r="D13" s="14"/>
      <c r="E13" s="14"/>
      <c r="F13" s="14"/>
      <c r="G13" s="14"/>
      <c r="H13" s="14"/>
      <c r="I13" s="14"/>
    </row>
    <row r="14" spans="1:9" x14ac:dyDescent="0.25">
      <c r="A14" s="31"/>
      <c r="B14" s="31"/>
      <c r="C14" s="31"/>
      <c r="D14" s="31"/>
      <c r="E14" s="31"/>
      <c r="F14" s="31"/>
      <c r="G14" s="31"/>
      <c r="H14" s="31"/>
      <c r="I14" s="31"/>
    </row>
    <row r="15" spans="1:9" x14ac:dyDescent="0.25">
      <c r="A15" s="17" t="s">
        <v>37</v>
      </c>
      <c r="B15" s="17"/>
      <c r="C15" s="17"/>
      <c r="D15" s="17"/>
      <c r="E15" s="17"/>
      <c r="F15" s="17"/>
      <c r="G15" s="17"/>
      <c r="H15" s="32">
        <f>SUM(H6:H14)</f>
        <v>32</v>
      </c>
      <c r="I15" s="32">
        <f>SUM(I6:I14)</f>
        <v>280</v>
      </c>
    </row>
    <row r="18" spans="1:2" x14ac:dyDescent="0.25">
      <c r="A18" s="17" t="s">
        <v>38</v>
      </c>
      <c r="B18" s="17"/>
    </row>
    <row r="19" spans="1:2" x14ac:dyDescent="0.25">
      <c r="A19" s="33" t="s">
        <v>39</v>
      </c>
      <c r="B19" s="14" t="s">
        <v>40</v>
      </c>
    </row>
    <row r="20" spans="1:2" x14ac:dyDescent="0.25">
      <c r="A20" s="34" t="s">
        <v>29</v>
      </c>
      <c r="B20" s="14" t="s">
        <v>41</v>
      </c>
    </row>
    <row r="22" spans="1:2" x14ac:dyDescent="0.25">
      <c r="A22" s="33" t="s">
        <v>42</v>
      </c>
      <c r="B22" s="33" t="s">
        <v>43</v>
      </c>
    </row>
    <row r="23" spans="1:2" x14ac:dyDescent="0.25">
      <c r="A23" s="14">
        <v>1</v>
      </c>
      <c r="B23" s="14" t="s">
        <v>44</v>
      </c>
    </row>
    <row r="24" spans="1:2" x14ac:dyDescent="0.25">
      <c r="A24" s="14">
        <v>2</v>
      </c>
      <c r="B24" s="14" t="s">
        <v>45</v>
      </c>
    </row>
    <row r="25" spans="1:2" x14ac:dyDescent="0.25">
      <c r="A25" s="14">
        <v>3</v>
      </c>
      <c r="B25" s="14" t="s">
        <v>46</v>
      </c>
    </row>
    <row r="26" spans="1:2" x14ac:dyDescent="0.25">
      <c r="A26" s="14">
        <v>5</v>
      </c>
      <c r="B26" s="14" t="s">
        <v>47</v>
      </c>
    </row>
    <row r="27" spans="1:2" x14ac:dyDescent="0.25">
      <c r="A27" s="14">
        <v>8</v>
      </c>
      <c r="B27" s="14" t="s">
        <v>48</v>
      </c>
    </row>
  </sheetData>
  <mergeCells count="2">
    <mergeCell ref="A1:I2"/>
    <mergeCell ref="A4:I4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"/>
  <sheetViews>
    <sheetView zoomScale="85" zoomScaleNormal="85" workbookViewId="0">
      <selection activeCell="A5" sqref="A5"/>
    </sheetView>
  </sheetViews>
  <sheetFormatPr defaultColWidth="8.5703125" defaultRowHeight="15" x14ac:dyDescent="0.25"/>
  <cols>
    <col min="1" max="1" width="15.85546875" customWidth="1"/>
    <col min="2" max="2" width="12.7109375" customWidth="1"/>
  </cols>
  <sheetData>
    <row r="3" spans="1:2" x14ac:dyDescent="0.25">
      <c r="A3" s="35" t="s">
        <v>49</v>
      </c>
      <c r="B3" s="36" t="s">
        <v>50</v>
      </c>
    </row>
    <row r="4" spans="1:2" x14ac:dyDescent="0.25">
      <c r="A4" s="37" t="s">
        <v>51</v>
      </c>
      <c r="B4" s="38">
        <v>140</v>
      </c>
    </row>
    <row r="5" spans="1:2" x14ac:dyDescent="0.25">
      <c r="A5" s="39" t="s">
        <v>52</v>
      </c>
      <c r="B5" s="40">
        <v>140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7"/>
  <sheetViews>
    <sheetView tabSelected="1" zoomScale="85" zoomScaleNormal="85" workbookViewId="0">
      <pane xSplit="1" ySplit="9" topLeftCell="B46" activePane="bottomRight" state="frozen"/>
      <selection pane="topRight" activeCell="B1" sqref="B1"/>
      <selection pane="bottomLeft" activeCell="A13" sqref="A13"/>
      <selection pane="bottomRight" activeCell="G40" sqref="G40:G43"/>
    </sheetView>
  </sheetViews>
  <sheetFormatPr defaultColWidth="8.5703125" defaultRowHeight="15" x14ac:dyDescent="0.25"/>
  <cols>
    <col min="1" max="1" width="4.28515625" style="24" customWidth="1"/>
    <col min="2" max="2" width="17.85546875" style="24" customWidth="1"/>
    <col min="3" max="3" width="24.140625" style="24" customWidth="1"/>
    <col min="4" max="4" width="10.42578125" style="41" customWidth="1"/>
    <col min="5" max="5" width="12.5703125" style="41" customWidth="1"/>
    <col min="6" max="6" width="24.140625" style="24" customWidth="1"/>
    <col min="7" max="7" width="12.28515625" style="42" customWidth="1"/>
    <col min="8" max="8" width="16.7109375" customWidth="1"/>
    <col min="9" max="9" width="8" customWidth="1"/>
    <col min="11" max="11" width="8" customWidth="1"/>
    <col min="13" max="13" width="9.42578125" customWidth="1"/>
    <col min="14" max="14" width="11.5703125" customWidth="1"/>
    <col min="16" max="16" width="11.7109375" customWidth="1"/>
    <col min="18" max="18" width="16.7109375" customWidth="1"/>
    <col min="19" max="19" width="15.85546875" customWidth="1"/>
    <col min="41" max="41" width="15.140625" customWidth="1"/>
    <col min="255" max="255" width="12.42578125" customWidth="1"/>
    <col min="256" max="256" width="60.5703125" customWidth="1"/>
    <col min="257" max="257" width="17.7109375" customWidth="1"/>
    <col min="258" max="258" width="33.28515625" customWidth="1"/>
    <col min="259" max="259" width="15.85546875" customWidth="1"/>
    <col min="511" max="511" width="12.42578125" customWidth="1"/>
    <col min="512" max="512" width="60.5703125" customWidth="1"/>
    <col min="513" max="513" width="17.7109375" customWidth="1"/>
    <col min="514" max="514" width="33.28515625" customWidth="1"/>
    <col min="515" max="515" width="15.85546875" customWidth="1"/>
    <col min="767" max="767" width="12.42578125" customWidth="1"/>
    <col min="768" max="768" width="60.5703125" customWidth="1"/>
    <col min="769" max="769" width="17.7109375" customWidth="1"/>
    <col min="770" max="770" width="33.28515625" customWidth="1"/>
    <col min="771" max="771" width="15.85546875" customWidth="1"/>
    <col min="1023" max="1023" width="12.42578125" customWidth="1"/>
    <col min="1024" max="1024" width="60.5703125" customWidth="1"/>
  </cols>
  <sheetData>
    <row r="1" spans="1:18" s="2" customFormat="1" ht="14.25" x14ac:dyDescent="0.2">
      <c r="A1" s="65" t="s">
        <v>53</v>
      </c>
      <c r="B1" s="65"/>
      <c r="C1" s="65"/>
      <c r="D1" s="65"/>
      <c r="E1" s="65"/>
      <c r="F1" s="65"/>
      <c r="G1" s="65"/>
      <c r="H1" s="43"/>
      <c r="I1" s="43"/>
      <c r="J1" s="43"/>
      <c r="K1" s="43"/>
      <c r="L1" s="2">
        <v>40</v>
      </c>
      <c r="M1" s="2">
        <v>10</v>
      </c>
      <c r="N1" s="2">
        <v>15</v>
      </c>
      <c r="O1" s="2">
        <v>35</v>
      </c>
      <c r="R1" s="43"/>
    </row>
    <row r="2" spans="1:18" s="2" customFormat="1" ht="14.25" x14ac:dyDescent="0.2">
      <c r="A2" s="65"/>
      <c r="B2" s="65"/>
      <c r="C2" s="65"/>
      <c r="D2" s="65"/>
      <c r="E2" s="65"/>
      <c r="F2" s="65"/>
      <c r="G2" s="65"/>
      <c r="H2" s="43"/>
      <c r="I2" s="43"/>
      <c r="J2" s="43"/>
      <c r="K2" s="43"/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R2" s="43"/>
    </row>
    <row r="3" spans="1:18" s="2" customFormat="1" ht="14.25" x14ac:dyDescent="0.2">
      <c r="A3" s="28"/>
      <c r="B3" s="28"/>
      <c r="C3" s="28"/>
      <c r="D3" s="28"/>
      <c r="E3" s="28"/>
      <c r="F3" s="28"/>
      <c r="G3" s="28"/>
      <c r="H3" s="28"/>
      <c r="I3" s="43"/>
      <c r="J3" s="28"/>
      <c r="K3" s="44">
        <v>1</v>
      </c>
      <c r="L3" s="2">
        <f t="shared" ref="L3:L9" si="0">P3*40%</f>
        <v>16</v>
      </c>
      <c r="M3" s="2">
        <f t="shared" ref="M3:M9" si="1">P3*10%</f>
        <v>4</v>
      </c>
      <c r="N3" s="2">
        <f t="shared" ref="N3:N9" si="2">P3*15%</f>
        <v>6</v>
      </c>
      <c r="O3" s="2">
        <f t="shared" ref="O3:O9" si="3">P3*35%</f>
        <v>14</v>
      </c>
      <c r="P3" s="2">
        <v>40</v>
      </c>
      <c r="R3" s="43"/>
    </row>
    <row r="4" spans="1:18" s="2" customFormat="1" ht="14.25" x14ac:dyDescent="0.2">
      <c r="A4" s="28"/>
      <c r="B4" s="28"/>
      <c r="C4" s="28"/>
      <c r="D4" s="28"/>
      <c r="E4" s="28"/>
      <c r="F4" s="28"/>
      <c r="G4" s="28"/>
      <c r="H4" s="28"/>
      <c r="I4" s="43"/>
      <c r="J4" s="28"/>
      <c r="K4" s="44">
        <v>2</v>
      </c>
      <c r="L4" s="2">
        <f t="shared" si="0"/>
        <v>16</v>
      </c>
      <c r="M4" s="2">
        <f t="shared" si="1"/>
        <v>4</v>
      </c>
      <c r="N4" s="2">
        <f t="shared" si="2"/>
        <v>6</v>
      </c>
      <c r="O4" s="2">
        <f t="shared" si="3"/>
        <v>14</v>
      </c>
      <c r="P4" s="2">
        <v>40</v>
      </c>
      <c r="R4" s="43"/>
    </row>
    <row r="5" spans="1:18" s="2" customFormat="1" ht="14.25" x14ac:dyDescent="0.2">
      <c r="A5" s="28"/>
      <c r="B5" s="28"/>
      <c r="C5" s="28"/>
      <c r="D5" s="28"/>
      <c r="E5" s="28"/>
      <c r="F5" s="28"/>
      <c r="G5" s="28"/>
      <c r="H5" s="28"/>
      <c r="I5" s="43"/>
      <c r="J5" s="28"/>
      <c r="K5" s="44">
        <v>3</v>
      </c>
      <c r="L5" s="2">
        <f t="shared" si="0"/>
        <v>16</v>
      </c>
      <c r="M5" s="2">
        <f t="shared" si="1"/>
        <v>4</v>
      </c>
      <c r="N5" s="2">
        <f t="shared" si="2"/>
        <v>6</v>
      </c>
      <c r="O5" s="2">
        <f t="shared" si="3"/>
        <v>14</v>
      </c>
      <c r="P5" s="2">
        <v>40</v>
      </c>
      <c r="R5" s="43"/>
    </row>
    <row r="6" spans="1:18" s="2" customFormat="1" ht="14.25" x14ac:dyDescent="0.2">
      <c r="A6" s="28"/>
      <c r="B6" s="28"/>
      <c r="C6" s="28"/>
      <c r="D6" s="28"/>
      <c r="E6" s="28"/>
      <c r="F6" s="28"/>
      <c r="G6" s="28"/>
      <c r="H6" s="28"/>
      <c r="I6" s="43"/>
      <c r="J6" s="28"/>
      <c r="K6" s="44">
        <v>4</v>
      </c>
      <c r="L6" s="2">
        <f t="shared" si="0"/>
        <v>24</v>
      </c>
      <c r="M6" s="2">
        <f t="shared" si="1"/>
        <v>6</v>
      </c>
      <c r="N6" s="2">
        <f t="shared" si="2"/>
        <v>9</v>
      </c>
      <c r="O6" s="2">
        <f t="shared" si="3"/>
        <v>21</v>
      </c>
      <c r="P6" s="2">
        <v>60</v>
      </c>
      <c r="R6" s="43"/>
    </row>
    <row r="7" spans="1:18" s="2" customFormat="1" ht="14.25" x14ac:dyDescent="0.2">
      <c r="A7" s="28"/>
      <c r="B7" s="28"/>
      <c r="C7" s="28"/>
      <c r="D7" s="28"/>
      <c r="E7" s="28"/>
      <c r="F7" s="28"/>
      <c r="G7" s="28"/>
      <c r="H7" s="28"/>
      <c r="I7" s="43"/>
      <c r="J7" s="28"/>
      <c r="K7" s="44">
        <v>5</v>
      </c>
      <c r="L7" s="2">
        <f t="shared" si="0"/>
        <v>20</v>
      </c>
      <c r="M7" s="2">
        <f t="shared" si="1"/>
        <v>5</v>
      </c>
      <c r="N7" s="2">
        <f t="shared" si="2"/>
        <v>7.5</v>
      </c>
      <c r="O7" s="2">
        <f t="shared" si="3"/>
        <v>17.5</v>
      </c>
      <c r="P7" s="2">
        <v>50</v>
      </c>
      <c r="Q7" s="2">
        <v>54</v>
      </c>
      <c r="R7" s="43"/>
    </row>
    <row r="8" spans="1:18" s="2" customFormat="1" ht="14.25" x14ac:dyDescent="0.2">
      <c r="A8" s="28"/>
      <c r="B8" s="28"/>
      <c r="C8" s="28"/>
      <c r="D8" s="28"/>
      <c r="E8" s="28"/>
      <c r="F8" s="28"/>
      <c r="G8" s="28"/>
      <c r="H8" s="28"/>
      <c r="I8" s="43"/>
      <c r="J8" s="28"/>
      <c r="K8" s="44">
        <v>6</v>
      </c>
      <c r="L8" s="2">
        <f t="shared" si="0"/>
        <v>16</v>
      </c>
      <c r="M8" s="2">
        <f t="shared" si="1"/>
        <v>4</v>
      </c>
      <c r="N8" s="2">
        <f t="shared" si="2"/>
        <v>6</v>
      </c>
      <c r="O8" s="2">
        <f t="shared" si="3"/>
        <v>14</v>
      </c>
      <c r="P8" s="2">
        <v>40</v>
      </c>
      <c r="R8" s="43"/>
    </row>
    <row r="9" spans="1:18" s="2" customFormat="1" ht="14.25" x14ac:dyDescent="0.2">
      <c r="A9" s="28"/>
      <c r="B9" s="28"/>
      <c r="C9" s="28"/>
      <c r="D9" s="28"/>
      <c r="E9" s="28"/>
      <c r="F9" s="28"/>
      <c r="G9" s="28"/>
      <c r="H9" s="28"/>
      <c r="I9" s="43"/>
      <c r="J9" s="28"/>
      <c r="K9" s="44">
        <v>7</v>
      </c>
      <c r="L9" s="2">
        <f t="shared" si="0"/>
        <v>16</v>
      </c>
      <c r="M9" s="2">
        <f t="shared" si="1"/>
        <v>4</v>
      </c>
      <c r="N9" s="2">
        <f t="shared" si="2"/>
        <v>6</v>
      </c>
      <c r="O9" s="2">
        <f t="shared" si="3"/>
        <v>14</v>
      </c>
      <c r="P9" s="2">
        <v>40</v>
      </c>
      <c r="R9" s="43"/>
    </row>
    <row r="10" spans="1:18" s="2" customFormat="1" ht="14.25" x14ac:dyDescent="0.2">
      <c r="A10" s="28"/>
      <c r="B10" s="28"/>
      <c r="C10" s="28"/>
      <c r="D10" s="28"/>
      <c r="E10" s="28"/>
      <c r="F10" s="28"/>
      <c r="G10" s="28"/>
      <c r="H10" s="28"/>
      <c r="I10" s="43"/>
      <c r="J10" s="28"/>
      <c r="K10" s="44">
        <v>8</v>
      </c>
      <c r="R10" s="43"/>
    </row>
    <row r="11" spans="1:18" s="2" customFormat="1" ht="14.25" x14ac:dyDescent="0.2">
      <c r="A11" s="28"/>
      <c r="B11" s="28"/>
      <c r="C11" s="28"/>
      <c r="D11" s="28"/>
      <c r="E11" s="28"/>
      <c r="F11" s="28"/>
      <c r="G11" s="28"/>
      <c r="H11" s="28"/>
      <c r="I11" s="43"/>
      <c r="J11" s="28"/>
      <c r="K11" s="44">
        <v>9</v>
      </c>
      <c r="R11" s="43"/>
    </row>
    <row r="12" spans="1:18" s="2" customFormat="1" ht="14.25" x14ac:dyDescent="0.2">
      <c r="A12" s="28"/>
      <c r="B12" s="28"/>
      <c r="C12" s="28"/>
      <c r="D12" s="28"/>
      <c r="E12" s="28"/>
      <c r="F12" s="28"/>
      <c r="G12" s="28"/>
      <c r="H12" s="28"/>
      <c r="I12" s="43"/>
      <c r="J12" s="28"/>
      <c r="K12" s="44"/>
      <c r="R12" s="43"/>
    </row>
    <row r="13" spans="1:18" ht="30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/>
      <c r="F13" s="4" t="s">
        <v>63</v>
      </c>
      <c r="G13" s="4" t="s">
        <v>64</v>
      </c>
      <c r="H13" s="4" t="s">
        <v>65</v>
      </c>
      <c r="I13" s="45" t="s">
        <v>49</v>
      </c>
      <c r="K13" s="44"/>
      <c r="L13" s="2"/>
      <c r="M13" s="2"/>
      <c r="N13" s="2"/>
      <c r="O13" s="2"/>
      <c r="P13" s="2"/>
      <c r="R13" s="4" t="s">
        <v>65</v>
      </c>
    </row>
    <row r="14" spans="1:18" ht="15" customHeight="1" x14ac:dyDescent="0.25">
      <c r="A14" s="74">
        <v>1</v>
      </c>
      <c r="B14" s="73" t="s">
        <v>104</v>
      </c>
      <c r="C14" s="76" t="s">
        <v>99</v>
      </c>
      <c r="D14" s="73" t="s">
        <v>55</v>
      </c>
      <c r="E14" s="73">
        <v>4</v>
      </c>
      <c r="F14" s="56" t="s">
        <v>66</v>
      </c>
      <c r="G14" s="57">
        <v>3</v>
      </c>
      <c r="H14" s="57" t="s">
        <v>94</v>
      </c>
      <c r="I14" s="72">
        <v>5</v>
      </c>
      <c r="J14" s="77"/>
      <c r="K14" s="44"/>
      <c r="P14" s="2">
        <f>SUM(P3:P13)</f>
        <v>310</v>
      </c>
      <c r="R14" s="14" t="s">
        <v>68</v>
      </c>
    </row>
    <row r="15" spans="1:18" x14ac:dyDescent="0.25">
      <c r="A15" s="74"/>
      <c r="B15" s="74"/>
      <c r="C15" s="76"/>
      <c r="D15" s="73"/>
      <c r="E15" s="73"/>
      <c r="F15" s="56" t="s">
        <v>69</v>
      </c>
      <c r="G15" s="58">
        <v>1</v>
      </c>
      <c r="H15" s="58" t="s">
        <v>70</v>
      </c>
      <c r="I15" s="72"/>
      <c r="J15" s="77"/>
      <c r="K15" s="44"/>
      <c r="R15" s="14" t="s">
        <v>71</v>
      </c>
    </row>
    <row r="16" spans="1:18" ht="15" customHeight="1" x14ac:dyDescent="0.25">
      <c r="A16" s="74"/>
      <c r="B16" s="74"/>
      <c r="C16" s="76"/>
      <c r="D16" s="73" t="s">
        <v>54</v>
      </c>
      <c r="E16" s="73">
        <v>16</v>
      </c>
      <c r="F16" s="56" t="s">
        <v>72</v>
      </c>
      <c r="G16" s="57"/>
      <c r="H16" s="57"/>
      <c r="I16" s="72"/>
      <c r="J16" s="77"/>
      <c r="R16" s="14"/>
    </row>
    <row r="17" spans="1:41" x14ac:dyDescent="0.25">
      <c r="A17" s="74"/>
      <c r="B17" s="74"/>
      <c r="C17" s="76"/>
      <c r="D17" s="73"/>
      <c r="E17" s="73"/>
      <c r="F17" s="56" t="s">
        <v>73</v>
      </c>
      <c r="G17" s="57"/>
      <c r="H17" s="57"/>
      <c r="I17" s="72"/>
      <c r="J17" s="77"/>
      <c r="K17" s="44"/>
      <c r="R17" s="14"/>
    </row>
    <row r="18" spans="1:41" x14ac:dyDescent="0.25">
      <c r="A18" s="74"/>
      <c r="B18" s="74"/>
      <c r="C18" s="76"/>
      <c r="D18" s="73"/>
      <c r="E18" s="73"/>
      <c r="F18" s="59" t="s">
        <v>74</v>
      </c>
      <c r="G18" s="57">
        <v>14</v>
      </c>
      <c r="H18" s="57" t="s">
        <v>94</v>
      </c>
      <c r="I18" s="72"/>
      <c r="J18" s="77"/>
      <c r="K18" s="50"/>
      <c r="R18" s="14" t="s">
        <v>27</v>
      </c>
    </row>
    <row r="19" spans="1:41" x14ac:dyDescent="0.25">
      <c r="A19" s="74"/>
      <c r="B19" s="74"/>
      <c r="C19" s="76"/>
      <c r="D19" s="73"/>
      <c r="E19" s="73"/>
      <c r="F19" s="56" t="s">
        <v>75</v>
      </c>
      <c r="G19" s="58">
        <v>2</v>
      </c>
      <c r="H19" s="58" t="s">
        <v>70</v>
      </c>
      <c r="I19" s="72"/>
      <c r="J19" s="77"/>
      <c r="K19" s="50"/>
      <c r="R19" s="51" t="s">
        <v>12</v>
      </c>
      <c r="AO19" s="14" t="s">
        <v>68</v>
      </c>
    </row>
    <row r="20" spans="1:41" ht="14.25" customHeight="1" x14ac:dyDescent="0.25">
      <c r="A20" s="74"/>
      <c r="B20" s="74"/>
      <c r="C20" s="76"/>
      <c r="D20" s="73" t="s">
        <v>76</v>
      </c>
      <c r="E20" s="73">
        <v>6</v>
      </c>
      <c r="F20" s="56" t="s">
        <v>77</v>
      </c>
      <c r="G20" s="57">
        <v>3</v>
      </c>
      <c r="H20" s="57" t="s">
        <v>94</v>
      </c>
      <c r="I20" s="72"/>
      <c r="J20" s="77"/>
      <c r="K20" s="50"/>
      <c r="R20" s="51" t="s">
        <v>16</v>
      </c>
      <c r="AO20" s="14" t="s">
        <v>27</v>
      </c>
    </row>
    <row r="21" spans="1:41" x14ac:dyDescent="0.25">
      <c r="A21" s="74"/>
      <c r="B21" s="74"/>
      <c r="C21" s="76"/>
      <c r="D21" s="73"/>
      <c r="E21" s="73"/>
      <c r="F21" s="56" t="s">
        <v>78</v>
      </c>
      <c r="G21" s="58">
        <v>1</v>
      </c>
      <c r="H21" s="58" t="s">
        <v>70</v>
      </c>
      <c r="I21" s="72"/>
      <c r="J21" s="77"/>
      <c r="K21" s="50"/>
      <c r="R21" s="14" t="s">
        <v>12</v>
      </c>
      <c r="AO21" s="14" t="s">
        <v>71</v>
      </c>
    </row>
    <row r="22" spans="1:41" x14ac:dyDescent="0.25">
      <c r="A22" s="74"/>
      <c r="B22" s="74"/>
      <c r="C22" s="76"/>
      <c r="D22" s="73"/>
      <c r="E22" s="73"/>
      <c r="F22" s="56" t="s">
        <v>79</v>
      </c>
      <c r="G22" s="57">
        <v>2</v>
      </c>
      <c r="H22" s="57" t="s">
        <v>94</v>
      </c>
      <c r="I22" s="72"/>
      <c r="J22" s="77"/>
      <c r="K22" s="50"/>
      <c r="R22" s="14" t="s">
        <v>16</v>
      </c>
      <c r="AO22" s="14" t="s">
        <v>80</v>
      </c>
    </row>
    <row r="23" spans="1:41" ht="15" customHeight="1" x14ac:dyDescent="0.25">
      <c r="A23" s="74"/>
      <c r="B23" s="74"/>
      <c r="C23" s="76"/>
      <c r="D23" s="73" t="s">
        <v>57</v>
      </c>
      <c r="E23" s="73">
        <v>14</v>
      </c>
      <c r="F23" s="56" t="s">
        <v>81</v>
      </c>
      <c r="G23" s="58">
        <v>6</v>
      </c>
      <c r="H23" s="58" t="s">
        <v>16</v>
      </c>
      <c r="I23" s="72"/>
      <c r="J23" s="77"/>
      <c r="K23" s="50"/>
      <c r="R23" s="14" t="s">
        <v>16</v>
      </c>
      <c r="AO23" s="14" t="s">
        <v>82</v>
      </c>
    </row>
    <row r="24" spans="1:41" x14ac:dyDescent="0.25">
      <c r="A24" s="74"/>
      <c r="B24" s="74"/>
      <c r="C24" s="76"/>
      <c r="D24" s="73"/>
      <c r="E24" s="73"/>
      <c r="F24" s="56" t="s">
        <v>83</v>
      </c>
      <c r="G24" s="58">
        <v>2</v>
      </c>
      <c r="H24" s="58" t="s">
        <v>70</v>
      </c>
      <c r="I24" s="72"/>
      <c r="J24" s="77"/>
      <c r="K24" s="50"/>
      <c r="R24" s="14" t="s">
        <v>84</v>
      </c>
      <c r="AO24" s="14" t="s">
        <v>85</v>
      </c>
    </row>
    <row r="25" spans="1:41" x14ac:dyDescent="0.25">
      <c r="A25" s="74"/>
      <c r="B25" s="74"/>
      <c r="C25" s="76"/>
      <c r="D25" s="73"/>
      <c r="E25" s="73"/>
      <c r="F25" s="56" t="s">
        <v>86</v>
      </c>
      <c r="G25" s="58">
        <v>6</v>
      </c>
      <c r="H25" s="58" t="s">
        <v>16</v>
      </c>
      <c r="I25" s="72"/>
      <c r="J25" s="77"/>
      <c r="K25" s="50"/>
      <c r="R25" s="14" t="s">
        <v>16</v>
      </c>
      <c r="AO25" s="14" t="s">
        <v>17</v>
      </c>
    </row>
    <row r="26" spans="1:41" ht="15" customHeight="1" x14ac:dyDescent="0.25">
      <c r="A26" s="71">
        <v>2</v>
      </c>
      <c r="B26" s="71" t="s">
        <v>101</v>
      </c>
      <c r="C26" s="76" t="s">
        <v>100</v>
      </c>
      <c r="D26" s="75" t="s">
        <v>55</v>
      </c>
      <c r="E26" s="75">
        <v>4</v>
      </c>
      <c r="F26" s="48" t="s">
        <v>66</v>
      </c>
      <c r="G26" s="46">
        <v>3</v>
      </c>
      <c r="H26" s="46" t="s">
        <v>67</v>
      </c>
      <c r="I26" s="69">
        <v>5</v>
      </c>
      <c r="J26" s="77"/>
      <c r="K26" s="50"/>
      <c r="R26" s="14" t="s">
        <v>68</v>
      </c>
    </row>
    <row r="27" spans="1:41" x14ac:dyDescent="0.25">
      <c r="A27" s="71"/>
      <c r="B27" s="71"/>
      <c r="C27" s="76"/>
      <c r="D27" s="75"/>
      <c r="E27" s="75"/>
      <c r="F27" s="48" t="s">
        <v>69</v>
      </c>
      <c r="G27" s="47">
        <v>1</v>
      </c>
      <c r="H27" s="47" t="s">
        <v>70</v>
      </c>
      <c r="I27" s="69"/>
      <c r="J27" s="77"/>
      <c r="K27" s="50"/>
      <c r="R27" s="14" t="s">
        <v>71</v>
      </c>
    </row>
    <row r="28" spans="1:41" ht="15" customHeight="1" x14ac:dyDescent="0.25">
      <c r="A28" s="71"/>
      <c r="B28" s="71"/>
      <c r="C28" s="76"/>
      <c r="D28" s="75" t="s">
        <v>54</v>
      </c>
      <c r="E28" s="75">
        <v>16</v>
      </c>
      <c r="F28" s="48" t="s">
        <v>72</v>
      </c>
      <c r="G28" s="46"/>
      <c r="H28" s="46"/>
      <c r="I28" s="69"/>
      <c r="J28" s="77"/>
      <c r="K28" s="50"/>
      <c r="R28" s="52"/>
    </row>
    <row r="29" spans="1:41" x14ac:dyDescent="0.25">
      <c r="A29" s="71"/>
      <c r="B29" s="71"/>
      <c r="C29" s="76"/>
      <c r="D29" s="75"/>
      <c r="E29" s="75"/>
      <c r="F29" s="48" t="s">
        <v>73</v>
      </c>
      <c r="G29" s="46"/>
      <c r="H29" s="46"/>
      <c r="I29" s="69"/>
      <c r="J29" s="77"/>
      <c r="K29" s="50"/>
      <c r="R29" s="52"/>
    </row>
    <row r="30" spans="1:41" x14ac:dyDescent="0.25">
      <c r="A30" s="71"/>
      <c r="B30" s="71"/>
      <c r="C30" s="76"/>
      <c r="D30" s="75"/>
      <c r="E30" s="75"/>
      <c r="F30" s="49" t="s">
        <v>74</v>
      </c>
      <c r="G30" s="46">
        <v>14</v>
      </c>
      <c r="H30" s="46" t="s">
        <v>67</v>
      </c>
      <c r="I30" s="69"/>
      <c r="J30" s="77"/>
      <c r="K30" s="50"/>
      <c r="R30" s="53" t="s">
        <v>88</v>
      </c>
    </row>
    <row r="31" spans="1:41" x14ac:dyDescent="0.25">
      <c r="A31" s="71"/>
      <c r="B31" s="71"/>
      <c r="C31" s="76"/>
      <c r="D31" s="75"/>
      <c r="E31" s="75"/>
      <c r="F31" s="48" t="s">
        <v>75</v>
      </c>
      <c r="G31" s="47">
        <v>2</v>
      </c>
      <c r="H31" s="47" t="s">
        <v>70</v>
      </c>
      <c r="I31" s="69"/>
      <c r="J31" s="77"/>
      <c r="K31" s="50"/>
      <c r="R31" s="14" t="s">
        <v>12</v>
      </c>
    </row>
    <row r="32" spans="1:41" ht="15" customHeight="1" x14ac:dyDescent="0.25">
      <c r="A32" s="71"/>
      <c r="B32" s="71"/>
      <c r="C32" s="76"/>
      <c r="D32" s="75" t="s">
        <v>76</v>
      </c>
      <c r="E32" s="75">
        <v>6</v>
      </c>
      <c r="F32" s="48" t="s">
        <v>77</v>
      </c>
      <c r="G32" s="46">
        <v>3</v>
      </c>
      <c r="H32" s="46" t="s">
        <v>67</v>
      </c>
      <c r="I32" s="69"/>
      <c r="J32" s="77"/>
      <c r="K32" s="50"/>
      <c r="R32" s="14" t="s">
        <v>16</v>
      </c>
    </row>
    <row r="33" spans="1:41" x14ac:dyDescent="0.25">
      <c r="A33" s="71"/>
      <c r="B33" s="71"/>
      <c r="C33" s="76"/>
      <c r="D33" s="75"/>
      <c r="E33" s="75"/>
      <c r="F33" s="48" t="s">
        <v>78</v>
      </c>
      <c r="G33" s="47">
        <v>1</v>
      </c>
      <c r="H33" s="47" t="s">
        <v>70</v>
      </c>
      <c r="I33" s="69"/>
      <c r="J33" s="77"/>
      <c r="K33" s="50"/>
      <c r="R33" s="14" t="s">
        <v>71</v>
      </c>
    </row>
    <row r="34" spans="1:41" x14ac:dyDescent="0.25">
      <c r="A34" s="71"/>
      <c r="B34" s="71"/>
      <c r="C34" s="76"/>
      <c r="D34" s="75"/>
      <c r="E34" s="75"/>
      <c r="F34" s="48" t="s">
        <v>79</v>
      </c>
      <c r="G34" s="46">
        <v>2</v>
      </c>
      <c r="H34" s="46" t="s">
        <v>67</v>
      </c>
      <c r="I34" s="69"/>
      <c r="J34" s="77"/>
      <c r="K34" s="50"/>
      <c r="R34" s="14" t="s">
        <v>16</v>
      </c>
    </row>
    <row r="35" spans="1:41" ht="15" customHeight="1" x14ac:dyDescent="0.25">
      <c r="A35" s="71"/>
      <c r="B35" s="71"/>
      <c r="C35" s="76"/>
      <c r="D35" s="75" t="s">
        <v>57</v>
      </c>
      <c r="E35" s="75">
        <v>14</v>
      </c>
      <c r="F35" s="48" t="s">
        <v>81</v>
      </c>
      <c r="G35" s="47">
        <v>6</v>
      </c>
      <c r="H35" s="47" t="s">
        <v>28</v>
      </c>
      <c r="I35" s="69"/>
      <c r="J35" s="77"/>
      <c r="K35" s="50"/>
      <c r="R35" s="14" t="s">
        <v>16</v>
      </c>
    </row>
    <row r="36" spans="1:41" x14ac:dyDescent="0.25">
      <c r="A36" s="71"/>
      <c r="B36" s="71"/>
      <c r="C36" s="76"/>
      <c r="D36" s="75"/>
      <c r="E36" s="75"/>
      <c r="F36" s="48" t="s">
        <v>83</v>
      </c>
      <c r="G36" s="47">
        <v>2</v>
      </c>
      <c r="H36" s="47" t="s">
        <v>70</v>
      </c>
      <c r="I36" s="69"/>
      <c r="J36" s="77"/>
      <c r="K36" s="50"/>
      <c r="R36" s="14" t="s">
        <v>84</v>
      </c>
    </row>
    <row r="37" spans="1:41" x14ac:dyDescent="0.25">
      <c r="A37" s="71"/>
      <c r="B37" s="71"/>
      <c r="C37" s="76"/>
      <c r="D37" s="75"/>
      <c r="E37" s="75"/>
      <c r="F37" s="48" t="s">
        <v>86</v>
      </c>
      <c r="G37" s="47">
        <v>6</v>
      </c>
      <c r="H37" s="47" t="s">
        <v>28</v>
      </c>
      <c r="I37" s="69"/>
      <c r="J37" s="77"/>
      <c r="K37" s="50"/>
      <c r="R37" s="14" t="s">
        <v>16</v>
      </c>
    </row>
    <row r="38" spans="1:41" ht="15" customHeight="1" x14ac:dyDescent="0.25">
      <c r="A38" s="71">
        <v>3</v>
      </c>
      <c r="B38" s="75" t="s">
        <v>105</v>
      </c>
      <c r="C38" s="76" t="s">
        <v>98</v>
      </c>
      <c r="D38" s="70" t="s">
        <v>55</v>
      </c>
      <c r="E38" s="70">
        <v>6</v>
      </c>
      <c r="F38" s="60" t="s">
        <v>66</v>
      </c>
      <c r="G38" s="61">
        <v>4</v>
      </c>
      <c r="H38" s="61" t="s">
        <v>106</v>
      </c>
      <c r="I38" s="69">
        <v>8</v>
      </c>
      <c r="J38" s="77"/>
      <c r="K38" s="50"/>
      <c r="R38" s="14" t="s">
        <v>68</v>
      </c>
      <c r="AO38" s="14" t="s">
        <v>16</v>
      </c>
    </row>
    <row r="39" spans="1:41" x14ac:dyDescent="0.25">
      <c r="A39" s="71"/>
      <c r="B39" s="71"/>
      <c r="C39" s="76"/>
      <c r="D39" s="70"/>
      <c r="E39" s="70"/>
      <c r="F39" s="60" t="s">
        <v>69</v>
      </c>
      <c r="G39" s="62">
        <v>2</v>
      </c>
      <c r="H39" s="62" t="s">
        <v>70</v>
      </c>
      <c r="I39" s="69"/>
      <c r="J39" s="77"/>
      <c r="K39" s="50"/>
      <c r="R39" s="14" t="s">
        <v>71</v>
      </c>
      <c r="AO39" s="14" t="s">
        <v>14</v>
      </c>
    </row>
    <row r="40" spans="1:41" s="79" customFormat="1" ht="15" customHeight="1" x14ac:dyDescent="0.25">
      <c r="A40" s="71"/>
      <c r="B40" s="71"/>
      <c r="C40" s="76"/>
      <c r="D40" s="70" t="s">
        <v>54</v>
      </c>
      <c r="E40" s="70">
        <v>24</v>
      </c>
      <c r="F40" s="60" t="s">
        <v>72</v>
      </c>
      <c r="G40" s="61">
        <v>6</v>
      </c>
      <c r="H40" s="61" t="s">
        <v>106</v>
      </c>
      <c r="I40" s="69"/>
      <c r="J40" s="77"/>
      <c r="K40" s="78"/>
      <c r="R40" s="80"/>
      <c r="AO40" s="80"/>
    </row>
    <row r="41" spans="1:41" s="79" customFormat="1" x14ac:dyDescent="0.25">
      <c r="A41" s="71"/>
      <c r="B41" s="71"/>
      <c r="C41" s="76"/>
      <c r="D41" s="70"/>
      <c r="E41" s="70"/>
      <c r="F41" s="60" t="s">
        <v>73</v>
      </c>
      <c r="G41" s="61"/>
      <c r="H41" s="61"/>
      <c r="I41" s="69"/>
      <c r="J41" s="77"/>
      <c r="K41" s="78"/>
      <c r="R41" s="80"/>
      <c r="AO41" s="80"/>
    </row>
    <row r="42" spans="1:41" s="79" customFormat="1" x14ac:dyDescent="0.25">
      <c r="A42" s="71"/>
      <c r="B42" s="71"/>
      <c r="C42" s="76"/>
      <c r="D42" s="70"/>
      <c r="E42" s="70"/>
      <c r="F42" s="83" t="s">
        <v>74</v>
      </c>
      <c r="G42" s="61">
        <v>16</v>
      </c>
      <c r="H42" s="61" t="s">
        <v>106</v>
      </c>
      <c r="I42" s="69"/>
      <c r="J42" s="77"/>
      <c r="K42" s="78"/>
      <c r="R42" s="81" t="s">
        <v>89</v>
      </c>
      <c r="AO42" s="80" t="s">
        <v>12</v>
      </c>
    </row>
    <row r="43" spans="1:41" s="79" customFormat="1" x14ac:dyDescent="0.25">
      <c r="A43" s="71"/>
      <c r="B43" s="71"/>
      <c r="C43" s="76"/>
      <c r="D43" s="70"/>
      <c r="E43" s="70"/>
      <c r="F43" s="60" t="s">
        <v>75</v>
      </c>
      <c r="G43" s="62">
        <v>2</v>
      </c>
      <c r="H43" s="62" t="s">
        <v>70</v>
      </c>
      <c r="I43" s="69"/>
      <c r="J43" s="77"/>
      <c r="K43" s="78"/>
      <c r="R43" s="80" t="s">
        <v>12</v>
      </c>
      <c r="AO43" s="82"/>
    </row>
    <row r="44" spans="1:41" s="79" customFormat="1" ht="15" customHeight="1" x14ac:dyDescent="0.25">
      <c r="A44" s="71"/>
      <c r="B44" s="71"/>
      <c r="C44" s="76"/>
      <c r="D44" s="70" t="s">
        <v>76</v>
      </c>
      <c r="E44" s="70">
        <v>9</v>
      </c>
      <c r="F44" s="60" t="s">
        <v>77</v>
      </c>
      <c r="G44" s="61">
        <v>2</v>
      </c>
      <c r="H44" s="61" t="s">
        <v>106</v>
      </c>
      <c r="I44" s="69"/>
      <c r="J44" s="77"/>
      <c r="K44" s="78"/>
      <c r="R44" s="81" t="s">
        <v>17</v>
      </c>
    </row>
    <row r="45" spans="1:41" s="79" customFormat="1" x14ac:dyDescent="0.25">
      <c r="A45" s="71"/>
      <c r="B45" s="71"/>
      <c r="C45" s="76"/>
      <c r="D45" s="70"/>
      <c r="E45" s="70"/>
      <c r="F45" s="60" t="s">
        <v>78</v>
      </c>
      <c r="G45" s="62">
        <v>2</v>
      </c>
      <c r="H45" s="62" t="s">
        <v>70</v>
      </c>
      <c r="I45" s="69"/>
      <c r="J45" s="77"/>
      <c r="K45" s="78"/>
      <c r="R45" s="80" t="s">
        <v>12</v>
      </c>
    </row>
    <row r="46" spans="1:41" s="79" customFormat="1" x14ac:dyDescent="0.25">
      <c r="A46" s="71"/>
      <c r="B46" s="71"/>
      <c r="C46" s="76"/>
      <c r="D46" s="70"/>
      <c r="E46" s="70"/>
      <c r="F46" s="60" t="s">
        <v>79</v>
      </c>
      <c r="G46" s="61">
        <v>5</v>
      </c>
      <c r="H46" s="61" t="s">
        <v>106</v>
      </c>
      <c r="I46" s="69"/>
      <c r="J46" s="77"/>
      <c r="K46" s="78"/>
      <c r="R46" s="80" t="s">
        <v>17</v>
      </c>
    </row>
    <row r="47" spans="1:41" s="79" customFormat="1" ht="15" customHeight="1" x14ac:dyDescent="0.25">
      <c r="A47" s="71"/>
      <c r="B47" s="71"/>
      <c r="C47" s="76"/>
      <c r="D47" s="70" t="s">
        <v>57</v>
      </c>
      <c r="E47" s="70">
        <v>21</v>
      </c>
      <c r="F47" s="60" t="s">
        <v>81</v>
      </c>
      <c r="G47" s="62">
        <v>9</v>
      </c>
      <c r="H47" s="62" t="s">
        <v>28</v>
      </c>
      <c r="I47" s="69"/>
      <c r="J47" s="77"/>
      <c r="K47" s="78"/>
      <c r="R47" s="80" t="s">
        <v>17</v>
      </c>
    </row>
    <row r="48" spans="1:41" s="79" customFormat="1" x14ac:dyDescent="0.25">
      <c r="A48" s="71"/>
      <c r="B48" s="71"/>
      <c r="C48" s="76"/>
      <c r="D48" s="70"/>
      <c r="E48" s="70"/>
      <c r="F48" s="60" t="s">
        <v>83</v>
      </c>
      <c r="G48" s="62">
        <v>2</v>
      </c>
      <c r="H48" s="62" t="s">
        <v>70</v>
      </c>
      <c r="I48" s="69"/>
      <c r="J48" s="77"/>
      <c r="K48" s="78"/>
      <c r="R48" s="80" t="s">
        <v>84</v>
      </c>
    </row>
    <row r="49" spans="1:18" s="79" customFormat="1" x14ac:dyDescent="0.25">
      <c r="A49" s="71"/>
      <c r="B49" s="71"/>
      <c r="C49" s="76"/>
      <c r="D49" s="70"/>
      <c r="E49" s="70"/>
      <c r="F49" s="60" t="s">
        <v>86</v>
      </c>
      <c r="G49" s="62">
        <v>10</v>
      </c>
      <c r="H49" s="62" t="s">
        <v>28</v>
      </c>
      <c r="I49" s="69">
        <v>8</v>
      </c>
      <c r="J49" s="77"/>
      <c r="K49" s="78"/>
      <c r="R49" s="80" t="s">
        <v>17</v>
      </c>
    </row>
    <row r="50" spans="1:18" ht="15" customHeight="1" x14ac:dyDescent="0.25">
      <c r="A50" s="71">
        <v>4</v>
      </c>
      <c r="B50" s="75" t="s">
        <v>103</v>
      </c>
      <c r="C50" s="76" t="s">
        <v>102</v>
      </c>
      <c r="D50" s="73" t="s">
        <v>55</v>
      </c>
      <c r="E50" s="73">
        <v>6</v>
      </c>
      <c r="F50" s="56" t="s">
        <v>66</v>
      </c>
      <c r="G50" s="57">
        <v>4</v>
      </c>
      <c r="H50" s="57" t="s">
        <v>87</v>
      </c>
      <c r="I50" s="69"/>
      <c r="J50" s="50"/>
      <c r="K50" s="50"/>
      <c r="R50" s="14"/>
    </row>
    <row r="51" spans="1:18" x14ac:dyDescent="0.25">
      <c r="A51" s="71"/>
      <c r="B51" s="71"/>
      <c r="C51" s="76"/>
      <c r="D51" s="73"/>
      <c r="E51" s="73"/>
      <c r="F51" s="56" t="s">
        <v>69</v>
      </c>
      <c r="G51" s="58">
        <v>2</v>
      </c>
      <c r="H51" s="58" t="s">
        <v>70</v>
      </c>
      <c r="I51" s="69"/>
      <c r="J51" s="50"/>
      <c r="K51" s="50"/>
      <c r="R51" s="14"/>
    </row>
    <row r="52" spans="1:18" ht="15" customHeight="1" x14ac:dyDescent="0.25">
      <c r="A52" s="71"/>
      <c r="B52" s="71"/>
      <c r="C52" s="76"/>
      <c r="D52" s="73" t="s">
        <v>54</v>
      </c>
      <c r="E52" s="73">
        <v>24</v>
      </c>
      <c r="F52" s="63" t="s">
        <v>72</v>
      </c>
      <c r="G52" s="64">
        <v>6</v>
      </c>
      <c r="H52" s="64" t="s">
        <v>87</v>
      </c>
      <c r="I52" s="69"/>
      <c r="J52" s="50"/>
      <c r="K52" s="50"/>
      <c r="R52" s="52"/>
    </row>
    <row r="53" spans="1:18" x14ac:dyDescent="0.25">
      <c r="A53" s="71"/>
      <c r="B53" s="71"/>
      <c r="C53" s="76"/>
      <c r="D53" s="73"/>
      <c r="E53" s="73"/>
      <c r="F53" s="56" t="s">
        <v>73</v>
      </c>
      <c r="G53" s="57"/>
      <c r="H53" s="57"/>
      <c r="I53" s="69"/>
      <c r="J53" s="50"/>
      <c r="K53" s="50"/>
      <c r="R53" s="52"/>
    </row>
    <row r="54" spans="1:18" x14ac:dyDescent="0.25">
      <c r="A54" s="71"/>
      <c r="B54" s="71"/>
      <c r="C54" s="76"/>
      <c r="D54" s="73"/>
      <c r="E54" s="73"/>
      <c r="F54" s="59" t="s">
        <v>74</v>
      </c>
      <c r="G54" s="57">
        <v>16</v>
      </c>
      <c r="H54" s="57" t="s">
        <v>87</v>
      </c>
      <c r="I54" s="69"/>
      <c r="J54" s="50"/>
      <c r="K54" s="50"/>
      <c r="R54" s="53"/>
    </row>
    <row r="55" spans="1:18" x14ac:dyDescent="0.25">
      <c r="A55" s="71"/>
      <c r="B55" s="71"/>
      <c r="C55" s="76"/>
      <c r="D55" s="73"/>
      <c r="E55" s="73"/>
      <c r="F55" s="56" t="s">
        <v>75</v>
      </c>
      <c r="G55" s="58">
        <v>2</v>
      </c>
      <c r="H55" s="58" t="s">
        <v>70</v>
      </c>
      <c r="I55" s="69"/>
      <c r="J55" s="50">
        <v>55</v>
      </c>
      <c r="K55" s="50">
        <v>55</v>
      </c>
      <c r="R55" s="14"/>
    </row>
    <row r="56" spans="1:18" ht="15" customHeight="1" x14ac:dyDescent="0.25">
      <c r="A56" s="71"/>
      <c r="B56" s="71"/>
      <c r="C56" s="76"/>
      <c r="D56" s="73" t="s">
        <v>76</v>
      </c>
      <c r="E56" s="73">
        <v>9</v>
      </c>
      <c r="F56" s="56" t="s">
        <v>77</v>
      </c>
      <c r="G56" s="57">
        <v>2</v>
      </c>
      <c r="H56" s="57" t="s">
        <v>87</v>
      </c>
      <c r="I56" s="69"/>
      <c r="J56" s="50"/>
      <c r="K56" s="50"/>
      <c r="R56" s="14"/>
    </row>
    <row r="57" spans="1:18" x14ac:dyDescent="0.25">
      <c r="A57" s="71"/>
      <c r="B57" s="71"/>
      <c r="C57" s="76"/>
      <c r="D57" s="73"/>
      <c r="E57" s="73"/>
      <c r="F57" s="56" t="s">
        <v>78</v>
      </c>
      <c r="G57" s="58">
        <v>2</v>
      </c>
      <c r="H57" s="58" t="s">
        <v>70</v>
      </c>
      <c r="I57" s="69"/>
      <c r="J57" s="50"/>
      <c r="K57" s="50"/>
      <c r="R57" s="14"/>
    </row>
    <row r="58" spans="1:18" x14ac:dyDescent="0.25">
      <c r="A58" s="71"/>
      <c r="B58" s="71"/>
      <c r="C58" s="76"/>
      <c r="D58" s="73"/>
      <c r="E58" s="73"/>
      <c r="F58" s="56" t="s">
        <v>79</v>
      </c>
      <c r="G58" s="57">
        <v>5</v>
      </c>
      <c r="H58" s="57" t="s">
        <v>87</v>
      </c>
      <c r="I58" s="69"/>
      <c r="J58" s="50"/>
      <c r="K58" s="50"/>
      <c r="R58" s="14"/>
    </row>
    <row r="59" spans="1:18" ht="15" customHeight="1" x14ac:dyDescent="0.25">
      <c r="A59" s="71"/>
      <c r="B59" s="71"/>
      <c r="C59" s="76"/>
      <c r="D59" s="73" t="s">
        <v>57</v>
      </c>
      <c r="E59" s="73">
        <v>21</v>
      </c>
      <c r="F59" s="56" t="s">
        <v>81</v>
      </c>
      <c r="G59" s="58">
        <v>8</v>
      </c>
      <c r="H59" s="58" t="s">
        <v>16</v>
      </c>
      <c r="I59" s="69"/>
      <c r="J59" s="50"/>
      <c r="K59" s="50"/>
      <c r="R59" s="14"/>
    </row>
    <row r="60" spans="1:18" x14ac:dyDescent="0.25">
      <c r="A60" s="71"/>
      <c r="B60" s="71"/>
      <c r="C60" s="76"/>
      <c r="D60" s="73"/>
      <c r="E60" s="73"/>
      <c r="F60" s="56" t="s">
        <v>83</v>
      </c>
      <c r="G60" s="58">
        <v>2</v>
      </c>
      <c r="H60" s="58" t="s">
        <v>70</v>
      </c>
      <c r="I60" s="69"/>
      <c r="J60" s="50"/>
      <c r="K60" s="50"/>
      <c r="R60" s="14"/>
    </row>
    <row r="61" spans="1:18" x14ac:dyDescent="0.25">
      <c r="A61" s="71"/>
      <c r="B61" s="71"/>
      <c r="C61" s="76"/>
      <c r="D61" s="73"/>
      <c r="E61" s="73"/>
      <c r="F61" s="56" t="s">
        <v>86</v>
      </c>
      <c r="G61" s="58">
        <v>6</v>
      </c>
      <c r="H61" s="58" t="s">
        <v>16</v>
      </c>
      <c r="I61" s="69"/>
      <c r="J61" s="50"/>
      <c r="K61" s="50"/>
      <c r="R61" s="14"/>
    </row>
    <row r="62" spans="1:18" x14ac:dyDescent="0.25">
      <c r="H62" s="42"/>
    </row>
    <row r="63" spans="1:18" x14ac:dyDescent="0.25">
      <c r="H63" s="42"/>
    </row>
    <row r="64" spans="1:18" x14ac:dyDescent="0.25">
      <c r="H64" s="42"/>
    </row>
    <row r="65" spans="8:8" x14ac:dyDescent="0.25">
      <c r="H65" s="42"/>
    </row>
    <row r="66" spans="8:8" x14ac:dyDescent="0.25">
      <c r="H66" s="42"/>
    </row>
    <row r="67" spans="8:8" x14ac:dyDescent="0.25">
      <c r="H67" s="42"/>
    </row>
    <row r="68" spans="8:8" x14ac:dyDescent="0.25">
      <c r="H68" s="42"/>
    </row>
    <row r="69" spans="8:8" x14ac:dyDescent="0.25">
      <c r="H69" s="42"/>
    </row>
    <row r="70" spans="8:8" x14ac:dyDescent="0.25">
      <c r="H70" s="42"/>
    </row>
    <row r="71" spans="8:8" x14ac:dyDescent="0.25">
      <c r="H71" s="42"/>
    </row>
    <row r="72" spans="8:8" x14ac:dyDescent="0.25">
      <c r="H72" s="42"/>
    </row>
    <row r="73" spans="8:8" x14ac:dyDescent="0.25">
      <c r="H73" s="42"/>
    </row>
    <row r="74" spans="8:8" x14ac:dyDescent="0.25">
      <c r="H74" s="42"/>
    </row>
    <row r="75" spans="8:8" x14ac:dyDescent="0.25">
      <c r="H75" s="42"/>
    </row>
    <row r="76" spans="8:8" x14ac:dyDescent="0.25">
      <c r="H76" s="42"/>
    </row>
    <row r="77" spans="8:8" x14ac:dyDescent="0.25">
      <c r="H77" s="42"/>
    </row>
  </sheetData>
  <autoFilter ref="A13:I61"/>
  <mergeCells count="52">
    <mergeCell ref="A1:G2"/>
    <mergeCell ref="A14:A25"/>
    <mergeCell ref="B14:B25"/>
    <mergeCell ref="C14:C25"/>
    <mergeCell ref="D14:D15"/>
    <mergeCell ref="E14:E15"/>
    <mergeCell ref="I14:I25"/>
    <mergeCell ref="J14:J25"/>
    <mergeCell ref="D16:D19"/>
    <mergeCell ref="E16:E19"/>
    <mergeCell ref="D20:D22"/>
    <mergeCell ref="E20:E22"/>
    <mergeCell ref="D23:D25"/>
    <mergeCell ref="E23:E25"/>
    <mergeCell ref="A26:A37"/>
    <mergeCell ref="B26:B37"/>
    <mergeCell ref="C26:C37"/>
    <mergeCell ref="D26:D27"/>
    <mergeCell ref="E26:E27"/>
    <mergeCell ref="I26:I37"/>
    <mergeCell ref="J26:J37"/>
    <mergeCell ref="D28:D31"/>
    <mergeCell ref="E28:E31"/>
    <mergeCell ref="D32:D34"/>
    <mergeCell ref="E32:E34"/>
    <mergeCell ref="D35:D37"/>
    <mergeCell ref="E35:E37"/>
    <mergeCell ref="A38:A49"/>
    <mergeCell ref="B38:B49"/>
    <mergeCell ref="C38:C49"/>
    <mergeCell ref="D38:D39"/>
    <mergeCell ref="E38:E39"/>
    <mergeCell ref="I38:I48"/>
    <mergeCell ref="J38:J49"/>
    <mergeCell ref="D40:D43"/>
    <mergeCell ref="E40:E43"/>
    <mergeCell ref="D44:D46"/>
    <mergeCell ref="E44:E46"/>
    <mergeCell ref="D47:D49"/>
    <mergeCell ref="E47:E49"/>
    <mergeCell ref="I49:I61"/>
    <mergeCell ref="A50:A61"/>
    <mergeCell ref="B50:B61"/>
    <mergeCell ref="C50:C61"/>
    <mergeCell ref="D50:D51"/>
    <mergeCell ref="E50:E51"/>
    <mergeCell ref="D52:D55"/>
    <mergeCell ref="E52:E55"/>
    <mergeCell ref="D56:D58"/>
    <mergeCell ref="E56:E58"/>
    <mergeCell ref="D59:D61"/>
    <mergeCell ref="E59:E61"/>
  </mergeCells>
  <dataValidations count="1">
    <dataValidation type="list" operator="equal" allowBlank="1" showInputMessage="1" showErrorMessage="1" sqref="R14:R61">
      <formula1>$AO$15:$AO$38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7"/>
  <sheetViews>
    <sheetView zoomScale="85" zoomScaleNormal="85" workbookViewId="0">
      <selection activeCell="D21" sqref="D21"/>
    </sheetView>
  </sheetViews>
  <sheetFormatPr defaultColWidth="9.140625" defaultRowHeight="15" x14ac:dyDescent="0.25"/>
  <cols>
    <col min="1" max="1" width="9.140625" style="24"/>
    <col min="2" max="2" width="15.28515625" style="24" customWidth="1"/>
    <col min="3" max="4" width="9.140625" style="24"/>
    <col min="5" max="5" width="11" style="24" customWidth="1"/>
    <col min="6" max="1024" width="9.140625" style="24"/>
  </cols>
  <sheetData>
    <row r="1" spans="1:14" x14ac:dyDescent="0.25">
      <c r="A1" s="24" t="s">
        <v>90</v>
      </c>
      <c r="C1" s="24">
        <v>80</v>
      </c>
    </row>
    <row r="2" spans="1:14" x14ac:dyDescent="0.25">
      <c r="C2" s="24" t="s">
        <v>30</v>
      </c>
      <c r="E2" s="24" t="s">
        <v>91</v>
      </c>
    </row>
    <row r="3" spans="1:14" x14ac:dyDescent="0.25">
      <c r="B3" s="54" t="s">
        <v>92</v>
      </c>
      <c r="E3" s="24">
        <f>C3*100/C1</f>
        <v>0</v>
      </c>
    </row>
    <row r="4" spans="1:14" x14ac:dyDescent="0.25">
      <c r="B4" s="24" t="s">
        <v>68</v>
      </c>
      <c r="E4" s="24">
        <f>C4*100/C1</f>
        <v>0</v>
      </c>
    </row>
    <row r="5" spans="1:14" x14ac:dyDescent="0.25">
      <c r="B5" s="24" t="s">
        <v>93</v>
      </c>
      <c r="E5" s="24">
        <f>C5*100/C1</f>
        <v>0</v>
      </c>
      <c r="N5" s="24">
        <f>80*5</f>
        <v>400</v>
      </c>
    </row>
    <row r="6" spans="1:14" x14ac:dyDescent="0.25">
      <c r="B6" s="24" t="s">
        <v>89</v>
      </c>
      <c r="E6" s="24">
        <f>C6*100/C1</f>
        <v>0</v>
      </c>
    </row>
    <row r="7" spans="1:14" x14ac:dyDescent="0.25">
      <c r="B7" s="54" t="s">
        <v>12</v>
      </c>
      <c r="E7" s="24">
        <f>C7*100/C1</f>
        <v>0</v>
      </c>
    </row>
    <row r="8" spans="1:14" x14ac:dyDescent="0.25">
      <c r="B8" s="55" t="s">
        <v>15</v>
      </c>
      <c r="E8" s="24">
        <f>C8*100/C1</f>
        <v>0</v>
      </c>
    </row>
    <row r="9" spans="1:14" x14ac:dyDescent="0.25">
      <c r="B9" s="55" t="s">
        <v>13</v>
      </c>
      <c r="E9" s="24">
        <f>C9*100/C1</f>
        <v>0</v>
      </c>
    </row>
    <row r="10" spans="1:14" x14ac:dyDescent="0.25">
      <c r="B10" s="54" t="s">
        <v>94</v>
      </c>
      <c r="E10" s="24">
        <f>C10*100/C1</f>
        <v>0</v>
      </c>
    </row>
    <row r="11" spans="1:14" x14ac:dyDescent="0.25">
      <c r="B11" s="54" t="s">
        <v>95</v>
      </c>
      <c r="E11" s="24">
        <f>C11*100/C1</f>
        <v>0</v>
      </c>
    </row>
    <row r="12" spans="1:14" x14ac:dyDescent="0.25">
      <c r="B12" s="54" t="s">
        <v>87</v>
      </c>
      <c r="E12" s="24">
        <f>C12*100/C1</f>
        <v>0</v>
      </c>
    </row>
    <row r="13" spans="1:14" x14ac:dyDescent="0.25">
      <c r="B13" s="24" t="s">
        <v>96</v>
      </c>
      <c r="E13" s="24">
        <f>C13*100/C1</f>
        <v>0</v>
      </c>
    </row>
    <row r="15" spans="1:14" x14ac:dyDescent="0.25">
      <c r="B15" s="24" t="s">
        <v>97</v>
      </c>
      <c r="E15" s="24">
        <f>C15*100/C1</f>
        <v>0</v>
      </c>
    </row>
    <row r="16" spans="1:14" x14ac:dyDescent="0.25">
      <c r="B16" s="54" t="s">
        <v>16</v>
      </c>
      <c r="E16" s="24">
        <f>C16*100/C1</f>
        <v>0</v>
      </c>
    </row>
    <row r="17" spans="2:5" x14ac:dyDescent="0.25">
      <c r="B17" s="54" t="s">
        <v>28</v>
      </c>
      <c r="E17" s="24">
        <f>C17*100/C1</f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12863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Sprint25-Capacity</vt:lpstr>
      <vt:lpstr>Sprint25-StorySizing</vt:lpstr>
      <vt:lpstr>Sheet3</vt:lpstr>
      <vt:lpstr>Sprint25-Task Estimation</vt:lpstr>
      <vt:lpstr>Contribution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Kumaresan R.</dc:creator>
  <dc:description/>
  <cp:lastModifiedBy>Ravi Raj. R</cp:lastModifiedBy>
  <cp:revision>1366</cp:revision>
  <cp:lastPrinted>2021-07-16T11:06:02Z</cp:lastPrinted>
  <dcterms:created xsi:type="dcterms:W3CDTF">2021-04-16T08:04:40Z</dcterms:created>
  <dcterms:modified xsi:type="dcterms:W3CDTF">2024-08-09T06:53:54Z</dcterms:modified>
  <dc:language>en-IN</dc:language>
</cp:coreProperties>
</file>