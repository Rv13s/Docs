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0490" windowHeight="7620" activeTab="2"/>
  </bookViews>
  <sheets>
    <sheet name="RI Payment Search Screen" sheetId="10" r:id="rId1"/>
    <sheet name="View Screen" sheetId="1" r:id="rId2"/>
    <sheet name="Policy Data" sheetId="2" r:id="rId3"/>
    <sheet name="Receipt Detail" sheetId="8" r:id="rId4"/>
    <sheet name="List" sheetId="3" r:id="rId5"/>
    <sheet name="Fire Treaty Limit" sheetId="5" r:id="rId6"/>
  </sheets>
  <definedNames>
    <definedName name="Co_Insurance">'Policy Data'!$AB$8:$AB$9</definedName>
    <definedName name="Facultative_Outward">'Policy Data'!$AB$4:$AB$7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2" l="1"/>
  <c r="AD9" i="2" s="1"/>
  <c r="E9" i="2"/>
  <c r="L8" i="2"/>
  <c r="AD8" i="2" s="1"/>
  <c r="E8" i="2"/>
  <c r="L7" i="2"/>
  <c r="H7" i="2"/>
  <c r="F7" i="2"/>
  <c r="E7" i="2"/>
  <c r="L6" i="2"/>
  <c r="N6" i="2" s="1"/>
  <c r="P6" i="2" s="1"/>
  <c r="O6" i="2" s="1"/>
  <c r="G6" i="2"/>
  <c r="E6" i="2"/>
  <c r="N5" i="2"/>
  <c r="L5" i="2"/>
  <c r="H5" i="2"/>
  <c r="F5" i="2"/>
  <c r="E5" i="2"/>
  <c r="L4" i="2"/>
  <c r="E4" i="2"/>
  <c r="E34" i="1" a="1"/>
  <c r="E34" i="1"/>
  <c r="C34" i="1"/>
  <c r="J33" i="1"/>
  <c r="I33" i="1"/>
  <c r="H33" i="1"/>
  <c r="G33" i="1"/>
  <c r="F33" i="1"/>
  <c r="E33" i="1"/>
  <c r="D21" i="1"/>
  <c r="H14" i="1" a="1"/>
  <c r="H14" i="1" s="1"/>
  <c r="F14" i="1" a="1"/>
  <c r="F14" i="1" s="1"/>
  <c r="C14" i="1"/>
  <c r="M13" i="1"/>
  <c r="L13" i="1"/>
  <c r="K13" i="1"/>
  <c r="J13" i="1"/>
  <c r="I13" i="1"/>
  <c r="H13" i="1"/>
  <c r="G13" i="1"/>
  <c r="F13" i="1"/>
  <c r="D32" i="10"/>
  <c r="C32" i="10"/>
  <c r="D26" i="10"/>
  <c r="C26" i="10"/>
  <c r="H4" i="2" l="1"/>
  <c r="F4" i="2"/>
  <c r="J4" i="2" s="1"/>
  <c r="M4" i="2"/>
  <c r="S6" i="2"/>
  <c r="R6" i="2" s="1"/>
  <c r="H8" i="2"/>
  <c r="F8" i="2"/>
  <c r="M8" i="2"/>
  <c r="AE8" i="2" s="1"/>
  <c r="H9" i="2"/>
  <c r="F9" i="2"/>
  <c r="J9" i="2" s="1"/>
  <c r="AO9" i="2" s="1"/>
  <c r="M9" i="2"/>
  <c r="G4" i="2"/>
  <c r="D14" i="1" s="1"/>
  <c r="P5" i="2"/>
  <c r="O5" i="2" s="1"/>
  <c r="H6" i="2"/>
  <c r="F6" i="2"/>
  <c r="J6" i="2"/>
  <c r="AO6" i="2" s="1"/>
  <c r="M6" i="2"/>
  <c r="Q6" i="2"/>
  <c r="N7" i="2"/>
  <c r="G8" i="2"/>
  <c r="J8" i="2" s="1"/>
  <c r="AO8" i="2" s="1"/>
  <c r="G9" i="2"/>
  <c r="N4" i="2"/>
  <c r="G5" i="2"/>
  <c r="J5" i="2" s="1"/>
  <c r="AO5" i="2" s="1"/>
  <c r="M5" i="2"/>
  <c r="Q5" i="2"/>
  <c r="V6" i="2"/>
  <c r="U6" i="2" s="1"/>
  <c r="W6" i="2" s="1"/>
  <c r="G7" i="2"/>
  <c r="J7" i="2"/>
  <c r="AO7" i="2" s="1"/>
  <c r="M7" i="2"/>
  <c r="N8" i="2"/>
  <c r="V8" i="2"/>
  <c r="U8" i="2" s="1"/>
  <c r="W8" i="2" s="1"/>
  <c r="N9" i="2"/>
  <c r="AO4" i="2" l="1"/>
  <c r="E21" i="1" s="1"/>
  <c r="C21" i="1"/>
  <c r="E14" i="1"/>
  <c r="P4" i="2"/>
  <c r="O4" i="2" s="1"/>
  <c r="Q4" i="2" s="1"/>
  <c r="V7" i="2"/>
  <c r="U7" i="2" s="1"/>
  <c r="W7" i="2" s="1"/>
  <c r="S4" i="2"/>
  <c r="R4" i="2" s="1"/>
  <c r="V5" i="2"/>
  <c r="AK8" i="2"/>
  <c r="AG8" i="2"/>
  <c r="AL8" i="2" s="1"/>
  <c r="AI8" i="2"/>
  <c r="S5" i="2"/>
  <c r="R5" i="2" s="1"/>
  <c r="P9" i="2"/>
  <c r="O9" i="2" s="1"/>
  <c r="Q9" i="2" s="1"/>
  <c r="S9" i="2"/>
  <c r="R9" i="2" s="1"/>
  <c r="P8" i="2"/>
  <c r="O8" i="2" s="1"/>
  <c r="Q8" i="2" s="1"/>
  <c r="S8" i="2"/>
  <c r="R8" i="2" s="1"/>
  <c r="V4" i="2"/>
  <c r="U4" i="2" s="1"/>
  <c r="W4" i="2" s="1"/>
  <c r="S7" i="2"/>
  <c r="R7" i="2" s="1"/>
  <c r="P7" i="2"/>
  <c r="O7" i="2" s="1"/>
  <c r="Q7" i="2" s="1"/>
  <c r="Y6" i="2"/>
  <c r="V9" i="2"/>
  <c r="U9" i="2" s="1"/>
  <c r="W9" i="2" s="1"/>
  <c r="D34" i="1"/>
  <c r="AE9" i="2"/>
  <c r="G14" i="1" a="1"/>
  <c r="G14" i="1" s="1"/>
  <c r="AK9" i="2" l="1"/>
  <c r="L14" i="1" s="1" a="1"/>
  <c r="L14" i="1" s="1"/>
  <c r="AG9" i="2"/>
  <c r="AI9" i="2"/>
  <c r="K14" i="1" s="1" a="1"/>
  <c r="K14" i="1" s="1"/>
  <c r="I14" i="1" a="1"/>
  <c r="I14" i="1" s="1"/>
  <c r="U5" i="2"/>
  <c r="W5" i="2" s="1"/>
  <c r="Y5" i="2"/>
  <c r="X6" i="2"/>
  <c r="Z6" i="2" s="1"/>
  <c r="AD6" i="2"/>
  <c r="AM8" i="2"/>
  <c r="AQ8" i="2" s="1"/>
  <c r="Y4" i="2"/>
  <c r="T9" i="2"/>
  <c r="T4" i="2"/>
  <c r="T7" i="2"/>
  <c r="T5" i="2"/>
  <c r="T8" i="2"/>
  <c r="T6" i="2"/>
  <c r="Y7" i="2"/>
  <c r="AD7" i="2" l="1"/>
  <c r="X7" i="2"/>
  <c r="Z7" i="2" s="1"/>
  <c r="X4" i="2"/>
  <c r="AD4" i="2"/>
  <c r="AD5" i="2"/>
  <c r="X5" i="2"/>
  <c r="Z5" i="2" s="1"/>
  <c r="M14" i="1"/>
  <c r="F34" i="1"/>
  <c r="AL9" i="2"/>
  <c r="J14" i="1" a="1"/>
  <c r="J14" i="1" s="1"/>
  <c r="AM9" i="2"/>
  <c r="AQ9" i="2" s="1"/>
  <c r="AE6" i="2" l="1"/>
  <c r="AE4" i="2"/>
  <c r="Z4" i="2"/>
  <c r="AE7" i="2"/>
  <c r="AE5" i="2"/>
  <c r="I34" i="1" a="1"/>
  <c r="I34" i="1" s="1"/>
  <c r="G34" i="1" a="1"/>
  <c r="G34" i="1" s="1"/>
  <c r="H34" i="1" a="1"/>
  <c r="H34" i="1" s="1"/>
  <c r="J34" i="1" l="1"/>
  <c r="AG7" i="2"/>
  <c r="AG4" i="2"/>
  <c r="AG5" i="2"/>
  <c r="AG6" i="2"/>
  <c r="AI6" i="2" l="1"/>
  <c r="AK6" i="2"/>
  <c r="AL6" i="2" s="1"/>
  <c r="AK5" i="2"/>
  <c r="AL5" i="2"/>
  <c r="AI5" i="2"/>
  <c r="AI4" i="2"/>
  <c r="AK4" i="2"/>
  <c r="AL4" i="2" s="1"/>
  <c r="AK7" i="2"/>
  <c r="AI7" i="2"/>
  <c r="AL7" i="2" s="1"/>
  <c r="AM6" i="2"/>
  <c r="AQ6" i="2" s="1"/>
  <c r="AM5" i="2"/>
  <c r="AQ5" i="2" s="1"/>
  <c r="AM4" i="2"/>
  <c r="AQ4" i="2" s="1"/>
  <c r="AM7" i="2" l="1"/>
  <c r="AQ7" i="2" s="1"/>
</calcChain>
</file>

<file path=xl/sharedStrings.xml><?xml version="1.0" encoding="utf-8"?>
<sst xmlns="http://schemas.openxmlformats.org/spreadsheetml/2006/main" count="191" uniqueCount="135">
  <si>
    <t>Policy No</t>
  </si>
  <si>
    <t>Payment to</t>
  </si>
  <si>
    <t>Close</t>
  </si>
  <si>
    <t>Total Premium</t>
  </si>
  <si>
    <t>Co-Ins / Facultative Type</t>
  </si>
  <si>
    <t>SI</t>
  </si>
  <si>
    <t>Net Premium</t>
  </si>
  <si>
    <t>Co-Insurer / Faculatative Reinsurer Name</t>
  </si>
  <si>
    <t>Alpha Insurance and Surety Company , Inc.</t>
  </si>
  <si>
    <t>Bethel General Insurance &amp; Surety Corporation</t>
  </si>
  <si>
    <t>Corporate Guarantee and Insurance Company, Inc.</t>
  </si>
  <si>
    <t>Pioneer Insurance and Surety Corporation</t>
  </si>
  <si>
    <t>Share %</t>
  </si>
  <si>
    <t>List</t>
  </si>
  <si>
    <t>Payment category Co-ins / LRI</t>
  </si>
  <si>
    <t>10000/11/24/000153</t>
  </si>
  <si>
    <t>Policy Sum Insured</t>
  </si>
  <si>
    <t>Policy Premium</t>
  </si>
  <si>
    <t>Co-Insured Share %</t>
  </si>
  <si>
    <t>Premium Rate</t>
  </si>
  <si>
    <t>Co-Insurance Premium</t>
  </si>
  <si>
    <t>Facultative SI</t>
  </si>
  <si>
    <t>Facultative Premium</t>
  </si>
  <si>
    <t>Commission Due</t>
  </si>
  <si>
    <t>%</t>
  </si>
  <si>
    <t>Minimum</t>
  </si>
  <si>
    <t>Maximum</t>
  </si>
  <si>
    <t>Gross Retention</t>
  </si>
  <si>
    <t>Quota Share</t>
  </si>
  <si>
    <t>SGI Net Retention</t>
  </si>
  <si>
    <t>FS</t>
  </si>
  <si>
    <t>Fire Treaty Limit for 2024</t>
  </si>
  <si>
    <t>SGI Share %</t>
  </si>
  <si>
    <t>Quota Share %</t>
  </si>
  <si>
    <t>Quota Share SI</t>
  </si>
  <si>
    <t>Quota Share Prem</t>
  </si>
  <si>
    <t>SGI Share SI</t>
  </si>
  <si>
    <t>SGI Share Premium</t>
  </si>
  <si>
    <t>Treaty Year</t>
  </si>
  <si>
    <t>UW Year</t>
  </si>
  <si>
    <t>Surplus %</t>
  </si>
  <si>
    <t>Surplus SI</t>
  </si>
  <si>
    <t>Surplus Premium</t>
  </si>
  <si>
    <t>Co-Insurance SI</t>
  </si>
  <si>
    <t>VAT</t>
  </si>
  <si>
    <t>RI Payment Details</t>
  </si>
  <si>
    <t>RI Premium Paid</t>
  </si>
  <si>
    <t>Outstanding Premium</t>
  </si>
  <si>
    <t>RI Premium Outstanding</t>
  </si>
  <si>
    <t>Gross Premium</t>
  </si>
  <si>
    <t>Received Premium</t>
  </si>
  <si>
    <t>DST</t>
  </si>
  <si>
    <t>LGT</t>
  </si>
  <si>
    <t>OR Number</t>
  </si>
  <si>
    <t>Taxes &amp; Other Charges</t>
  </si>
  <si>
    <t>FST</t>
  </si>
  <si>
    <t>Receipt Date</t>
  </si>
  <si>
    <t>Receipt Premium</t>
  </si>
  <si>
    <t>Receipt Status</t>
  </si>
  <si>
    <t>Total Policy Premium</t>
  </si>
  <si>
    <t>Receipt Number</t>
  </si>
  <si>
    <t>Instrument Type</t>
  </si>
  <si>
    <t>Instrument No</t>
  </si>
  <si>
    <t>Cheque Status</t>
  </si>
  <si>
    <t>Receipt Amount</t>
  </si>
  <si>
    <t>Outstanding Amount</t>
  </si>
  <si>
    <t>Receipt History</t>
  </si>
  <si>
    <t>Instument Type</t>
  </si>
  <si>
    <t>Instrument Number</t>
  </si>
  <si>
    <t>SS</t>
  </si>
  <si>
    <t>Received Taxes &amp; Other Charges</t>
  </si>
  <si>
    <t xml:space="preserve">LRI / Coins Premium </t>
  </si>
  <si>
    <t>Search By</t>
  </si>
  <si>
    <t>Search Value</t>
  </si>
  <si>
    <t>Line Type</t>
  </si>
  <si>
    <t>Search</t>
  </si>
  <si>
    <t>Clear</t>
  </si>
  <si>
    <t>Payment AdvNo</t>
  </si>
  <si>
    <t>Payment Advdt</t>
  </si>
  <si>
    <t>Payment Amount</t>
  </si>
  <si>
    <t>Payment Status</t>
  </si>
  <si>
    <t>RI Facultaive /Co-Insurance Code</t>
  </si>
  <si>
    <t>RI Facultaive /Co-Insurance Name</t>
  </si>
  <si>
    <t> + Add</t>
  </si>
  <si>
    <t>Co-Insurance / RI-Facultative Payment Search</t>
  </si>
  <si>
    <t>Payment Adviser no</t>
  </si>
  <si>
    <t>Re-insurance Code</t>
  </si>
  <si>
    <t>Search Type</t>
  </si>
  <si>
    <t>Motor</t>
  </si>
  <si>
    <t>Non-Motor</t>
  </si>
  <si>
    <t>Payment Category Co-Ins / LRI</t>
  </si>
  <si>
    <t>Actual Premium to Pay</t>
  </si>
  <si>
    <t>VAT on Commission</t>
  </si>
  <si>
    <t>WHT on Commission</t>
  </si>
  <si>
    <t>Net premium To Pay</t>
  </si>
  <si>
    <t>Policy Premium &amp; RI Premium Details</t>
  </si>
  <si>
    <t xml:space="preserve">Policy Received Premium </t>
  </si>
  <si>
    <t>Once click the add button system should redirect to Co-Insurance / RI-Facultative Payment Screen</t>
  </si>
  <si>
    <t>GO</t>
  </si>
  <si>
    <t>Action</t>
  </si>
  <si>
    <t>Delete</t>
  </si>
  <si>
    <t>View</t>
  </si>
  <si>
    <t>Paid Amount</t>
  </si>
  <si>
    <t>Total Payment Amount</t>
  </si>
  <si>
    <t>Narration</t>
  </si>
  <si>
    <t>Payable To</t>
  </si>
  <si>
    <t>Add Instrument</t>
  </si>
  <si>
    <t>Save</t>
  </si>
  <si>
    <t>Submit</t>
  </si>
  <si>
    <t xml:space="preserve">Clear </t>
  </si>
  <si>
    <t>Add</t>
  </si>
  <si>
    <t>VAT amount</t>
  </si>
  <si>
    <t>WHT Amount</t>
  </si>
  <si>
    <t>Facultative  Share</t>
  </si>
  <si>
    <t>RI Comm % / Admin Charges</t>
  </si>
  <si>
    <t>RI Commission / Admin Commission</t>
  </si>
  <si>
    <t>VAT on RI Commission / VAT</t>
  </si>
  <si>
    <t>WHT on RI Commission / WHT</t>
  </si>
  <si>
    <t>VAT %</t>
  </si>
  <si>
    <t>WHT %</t>
  </si>
  <si>
    <t>Policy Premium Received</t>
  </si>
  <si>
    <t>Policy Outstanding Premium</t>
  </si>
  <si>
    <t>Facultative_Outward</t>
  </si>
  <si>
    <t>Co_Insurance</t>
  </si>
  <si>
    <t>Facultative_outward</t>
  </si>
  <si>
    <t>Realized</t>
  </si>
  <si>
    <t>Cash</t>
  </si>
  <si>
    <t>Receipt No</t>
  </si>
  <si>
    <t>10000/11/0001</t>
  </si>
  <si>
    <t>10000/11/0002</t>
  </si>
  <si>
    <t>Philbrit Insurance</t>
  </si>
  <si>
    <t xml:space="preserve"> RI-Facultative / Co-Insurance Payment Screen</t>
  </si>
  <si>
    <t>Co-Insurer Code</t>
  </si>
  <si>
    <t>Payment Confirmation List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</si>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</sst>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 * #,##0_ ;_ * \-#,##0_ ;_ * &quot;-&quot;??_ ;_ @_ "/>
    <numFmt numFmtId="165" formatCode="0.0000%"/>
    <numFmt numFmtId="166" formatCode="_ * #,##0.00_ ;_ * \-#,##0.00_ ;_ * &quot;-&quot;??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9"/>
      <name val="Verdana"/>
      <family val="2"/>
    </font>
    <font>
      <b/>
      <sz val="14"/>
      <name val="FontAwesome"/>
    </font>
    <font>
      <b/>
      <sz val="11"/>
      <color rgb="FF0099FF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AFAF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0" xfId="0" applyNumberFormat="1"/>
    <xf numFmtId="0" fontId="4" fillId="0" borderId="0" xfId="0" applyFont="1"/>
    <xf numFmtId="9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3" fillId="0" borderId="1" xfId="3" applyNumberFormat="1" applyFont="1" applyBorder="1"/>
    <xf numFmtId="164" fontId="0" fillId="0" borderId="1" xfId="3" applyNumberFormat="1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0" xfId="1" applyNumberFormat="1" applyFont="1" applyBorder="1"/>
    <xf numFmtId="43" fontId="0" fillId="0" borderId="0" xfId="1" applyFont="1" applyBorder="1"/>
    <xf numFmtId="43" fontId="0" fillId="0" borderId="0" xfId="1" applyNumberFormat="1" applyFont="1" applyBorder="1" applyAlignment="1">
      <alignment wrapText="1"/>
    </xf>
    <xf numFmtId="43" fontId="0" fillId="0" borderId="0" xfId="0" applyNumberFormat="1" applyBorder="1"/>
    <xf numFmtId="43" fontId="0" fillId="7" borderId="1" xfId="1" applyNumberFormat="1" applyFont="1" applyFill="1" applyBorder="1"/>
    <xf numFmtId="43" fontId="0" fillId="7" borderId="1" xfId="1" applyFont="1" applyFill="1" applyBorder="1"/>
    <xf numFmtId="43" fontId="0" fillId="7" borderId="1" xfId="1" applyNumberFormat="1" applyFont="1" applyFill="1" applyBorder="1" applyAlignment="1">
      <alignment wrapText="1"/>
    </xf>
    <xf numFmtId="43" fontId="0" fillId="7" borderId="1" xfId="0" applyNumberFormat="1" applyFill="1" applyBorder="1"/>
    <xf numFmtId="0" fontId="2" fillId="0" borderId="1" xfId="0" applyFont="1" applyBorder="1" applyAlignment="1">
      <alignment horizontal="center"/>
    </xf>
    <xf numFmtId="43" fontId="2" fillId="0" borderId="0" xfId="1" applyNumberFormat="1" applyFont="1" applyBorder="1"/>
    <xf numFmtId="43" fontId="2" fillId="0" borderId="0" xfId="1" applyNumberFormat="1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Border="1"/>
    <xf numFmtId="0" fontId="0" fillId="0" borderId="0" xfId="0" applyBorder="1"/>
    <xf numFmtId="0" fontId="0" fillId="0" borderId="10" xfId="0" applyBorder="1"/>
    <xf numFmtId="43" fontId="0" fillId="0" borderId="11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0" fontId="0" fillId="0" borderId="12" xfId="0" applyBorder="1"/>
    <xf numFmtId="0" fontId="0" fillId="0" borderId="13" xfId="0" applyBorder="1"/>
    <xf numFmtId="43" fontId="0" fillId="0" borderId="6" xfId="1" applyNumberFormat="1" applyFont="1" applyBorder="1"/>
    <xf numFmtId="43" fontId="0" fillId="0" borderId="7" xfId="1" applyFont="1" applyBorder="1"/>
    <xf numFmtId="43" fontId="0" fillId="0" borderId="7" xfId="1" applyNumberFormat="1" applyFont="1" applyBorder="1" applyAlignment="1">
      <alignment wrapText="1"/>
    </xf>
    <xf numFmtId="43" fontId="0" fillId="0" borderId="7" xfId="0" applyNumberFormat="1" applyBorder="1"/>
    <xf numFmtId="0" fontId="0" fillId="0" borderId="11" xfId="0" applyBorder="1"/>
    <xf numFmtId="43" fontId="2" fillId="0" borderId="9" xfId="1" applyNumberFormat="1" applyFont="1" applyBorder="1" applyAlignment="1">
      <alignment horizontal="left"/>
    </xf>
    <xf numFmtId="0" fontId="0" fillId="0" borderId="0" xfId="0" applyFill="1" applyBorder="1"/>
    <xf numFmtId="43" fontId="0" fillId="0" borderId="0" xfId="1" applyNumberFormat="1" applyFont="1" applyFill="1" applyBorder="1" applyAlignment="1">
      <alignment wrapText="1"/>
    </xf>
    <xf numFmtId="43" fontId="0" fillId="0" borderId="0" xfId="1" applyFont="1" applyFill="1" applyBorder="1"/>
    <xf numFmtId="0" fontId="2" fillId="0" borderId="1" xfId="0" applyFont="1" applyBorder="1" applyAlignment="1">
      <alignment horizontal="center"/>
    </xf>
    <xf numFmtId="10" fontId="0" fillId="7" borderId="1" xfId="2" applyNumberFormat="1" applyFont="1" applyFill="1" applyBorder="1" applyAlignment="1">
      <alignment wrapText="1"/>
    </xf>
    <xf numFmtId="0" fontId="2" fillId="0" borderId="2" xfId="0" applyFont="1" applyBorder="1"/>
    <xf numFmtId="0" fontId="0" fillId="9" borderId="1" xfId="0" applyFill="1" applyBorder="1" applyAlignment="1">
      <alignment horizontal="center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left" vertical="center" wrapText="1" indent="2"/>
    </xf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NumberFormat="1" applyFont="1" applyFill="1" applyBorder="1"/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3" fontId="0" fillId="0" borderId="1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9" fontId="0" fillId="0" borderId="1" xfId="1" applyNumberFormat="1" applyFont="1" applyBorder="1"/>
    <xf numFmtId="43" fontId="0" fillId="7" borderId="3" xfId="1" applyFont="1" applyFill="1" applyBorder="1"/>
    <xf numFmtId="43" fontId="0" fillId="0" borderId="11" xfId="1" applyNumberFormat="1" applyFont="1" applyBorder="1" applyAlignment="1">
      <alignment wrapText="1"/>
    </xf>
    <xf numFmtId="0" fontId="0" fillId="0" borderId="4" xfId="0" applyBorder="1"/>
    <xf numFmtId="10" fontId="0" fillId="7" borderId="1" xfId="2" applyNumberFormat="1" applyFont="1" applyFill="1" applyBorder="1"/>
    <xf numFmtId="43" fontId="0" fillId="7" borderId="1" xfId="0" applyNumberFormat="1" applyFill="1" applyBorder="1" applyAlignment="1">
      <alignment horizontal="center"/>
    </xf>
    <xf numFmtId="43" fontId="1" fillId="7" borderId="1" xfId="1" applyNumberFormat="1" applyFont="1" applyFill="1" applyBorder="1" applyAlignment="1">
      <alignment horizontal="left"/>
    </xf>
    <xf numFmtId="14" fontId="0" fillId="0" borderId="1" xfId="0" applyNumberFormat="1" applyBorder="1"/>
    <xf numFmtId="14" fontId="0" fillId="7" borderId="1" xfId="0" applyNumberFormat="1" applyFill="1" applyBorder="1"/>
    <xf numFmtId="43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7" borderId="1" xfId="1" applyNumberFormat="1" applyFont="1" applyFill="1" applyBorder="1" applyAlignment="1">
      <alignment horizontal="center"/>
    </xf>
    <xf numFmtId="0" fontId="8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showGridLines="0" workbookViewId="0">
      <selection activeCell="A21" sqref="A21"/>
    </sheetView>
  </sheetViews>
  <sheetFormatPr defaultRowHeight="15"/>
  <cols>
    <col min="2" max="2" width="27.7109375" bestFit="1" customWidth="1"/>
    <col min="3" max="3" width="24.28515625" customWidth="1"/>
    <col min="4" max="4" width="34.5703125" bestFit="1" customWidth="1"/>
    <col min="5" max="5" width="27" customWidth="1"/>
    <col min="6" max="6" width="39.28515625" bestFit="1" customWidth="1"/>
    <col min="7" max="7" width="25.140625" customWidth="1"/>
    <col min="8" max="8" width="18.28515625" customWidth="1"/>
    <col min="9" max="9" width="18.85546875" bestFit="1" customWidth="1"/>
    <col min="10" max="10" width="19.28515625" bestFit="1" customWidth="1"/>
    <col min="11" max="11" width="16.7109375" customWidth="1"/>
  </cols>
  <sheetData>
    <row r="2" spans="2:10">
      <c r="B2" s="83" t="s">
        <v>84</v>
      </c>
      <c r="C2" s="83"/>
      <c r="D2" s="83"/>
    </row>
    <row r="4" spans="2:10">
      <c r="B4" s="59" t="s">
        <v>72</v>
      </c>
      <c r="C4" s="1"/>
      <c r="E4" s="60" t="s">
        <v>73</v>
      </c>
      <c r="F4" s="1"/>
      <c r="H4" s="58" t="s">
        <v>75</v>
      </c>
      <c r="I4" s="58" t="s">
        <v>76</v>
      </c>
      <c r="J4" s="58" t="s">
        <v>2</v>
      </c>
    </row>
    <row r="9" spans="2:10" ht="22.5">
      <c r="B9" s="61" t="s">
        <v>77</v>
      </c>
      <c r="C9" s="61" t="s">
        <v>78</v>
      </c>
      <c r="D9" s="61" t="s">
        <v>90</v>
      </c>
      <c r="E9" s="61" t="s">
        <v>81</v>
      </c>
      <c r="F9" s="61" t="s">
        <v>82</v>
      </c>
      <c r="G9" s="61" t="s">
        <v>79</v>
      </c>
      <c r="H9" s="61" t="s">
        <v>80</v>
      </c>
      <c r="I9" s="62" t="s">
        <v>83</v>
      </c>
    </row>
    <row r="10" spans="2:10">
      <c r="B10" s="1"/>
      <c r="C10" s="1"/>
      <c r="D10" s="1"/>
      <c r="E10" s="1"/>
      <c r="F10" s="1"/>
      <c r="G10" s="1"/>
      <c r="H10" s="1"/>
      <c r="I10" s="1"/>
    </row>
    <row r="11" spans="2:10">
      <c r="B11" s="1"/>
      <c r="C11" s="1"/>
      <c r="D11" s="1"/>
      <c r="E11" s="1"/>
      <c r="F11" s="1"/>
      <c r="G11" s="1"/>
      <c r="H11" s="1"/>
      <c r="I11" s="1"/>
    </row>
    <row r="12" spans="2:10">
      <c r="B12" s="1"/>
      <c r="C12" s="1"/>
      <c r="D12" s="1"/>
      <c r="E12" s="1"/>
      <c r="F12" s="1"/>
      <c r="G12" s="1"/>
      <c r="H12" s="1"/>
      <c r="I12" s="1"/>
    </row>
    <row r="17" spans="2:13">
      <c r="B17" s="84" t="s">
        <v>97</v>
      </c>
      <c r="C17" s="84"/>
      <c r="D17" s="84"/>
    </row>
    <row r="19" spans="2:13">
      <c r="B19" s="83" t="s">
        <v>131</v>
      </c>
      <c r="C19" s="83"/>
      <c r="D19" s="83"/>
    </row>
    <row r="21" spans="2:13">
      <c r="B21" s="2" t="s">
        <v>14</v>
      </c>
      <c r="C21" s="1" t="s">
        <v>123</v>
      </c>
      <c r="E21" s="2" t="s">
        <v>1</v>
      </c>
      <c r="F21" s="1" t="s">
        <v>8</v>
      </c>
      <c r="H21" s="2" t="s">
        <v>0</v>
      </c>
      <c r="I21" s="1" t="s">
        <v>15</v>
      </c>
      <c r="K21" s="7" t="s">
        <v>98</v>
      </c>
    </row>
    <row r="24" spans="2:13">
      <c r="B24" s="63" t="s">
        <v>134</v>
      </c>
    </row>
    <row r="25" spans="2:13">
      <c r="B25" s="63"/>
    </row>
    <row r="26" spans="2:13" ht="33.75">
      <c r="B26" s="61" t="s">
        <v>0</v>
      </c>
      <c r="C26" s="61" t="str">
        <f>IF(C21="Co_insurance","Applicable to Pay Co-Insurance", "Applicable to Pay RI ")</f>
        <v>Applicable to Pay Co-Insurance</v>
      </c>
      <c r="D26" s="61" t="str">
        <f>IF(C21="Co_insurance","Admin Amount", "RI Commission ")</f>
        <v>Admin Amount</v>
      </c>
      <c r="E26" s="61" t="s">
        <v>111</v>
      </c>
      <c r="F26" s="61" t="s">
        <v>112</v>
      </c>
      <c r="G26" s="61" t="s">
        <v>6</v>
      </c>
      <c r="H26" s="61" t="s">
        <v>91</v>
      </c>
      <c r="I26" s="61" t="s">
        <v>92</v>
      </c>
      <c r="J26" s="61" t="s">
        <v>93</v>
      </c>
      <c r="K26" s="61" t="s">
        <v>94</v>
      </c>
      <c r="L26" s="85" t="s">
        <v>99</v>
      </c>
      <c r="M26" s="85"/>
    </row>
    <row r="27" spans="2:13">
      <c r="B27" s="1"/>
      <c r="C27" s="1"/>
      <c r="D27" s="1"/>
      <c r="E27" s="1"/>
      <c r="F27" s="1"/>
      <c r="G27" s="1"/>
      <c r="H27" s="1"/>
      <c r="I27" s="66"/>
      <c r="J27" s="66"/>
      <c r="K27" s="66"/>
      <c r="L27" s="67" t="s">
        <v>110</v>
      </c>
      <c r="M27" s="67" t="s">
        <v>101</v>
      </c>
    </row>
    <row r="30" spans="2:13">
      <c r="B30" s="63" t="s">
        <v>133</v>
      </c>
    </row>
    <row r="32" spans="2:13" ht="22.5">
      <c r="B32" s="61" t="s">
        <v>0</v>
      </c>
      <c r="C32" s="61" t="str">
        <f>IF(C21="Co_insurance","Co-Insurance Premium", "RI Premium ")</f>
        <v>Co-Insurance Premium</v>
      </c>
      <c r="D32" s="61" t="str">
        <f>IF(C21="Co_insurance","Admin Charges", "RI Commission ")</f>
        <v>Admin Charges</v>
      </c>
      <c r="E32" s="61" t="s">
        <v>111</v>
      </c>
      <c r="F32" s="61" t="s">
        <v>112</v>
      </c>
      <c r="G32" s="61" t="s">
        <v>102</v>
      </c>
      <c r="H32" s="85" t="s">
        <v>99</v>
      </c>
      <c r="I32" s="85"/>
    </row>
    <row r="33" spans="2:9">
      <c r="B33" s="1"/>
      <c r="C33" s="1"/>
      <c r="D33" s="66"/>
      <c r="E33" s="66"/>
      <c r="F33" s="66"/>
      <c r="G33" s="66"/>
      <c r="H33" s="67" t="s">
        <v>100</v>
      </c>
      <c r="I33" s="67" t="s">
        <v>101</v>
      </c>
    </row>
    <row r="38" spans="2:9">
      <c r="B38" s="1" t="s">
        <v>103</v>
      </c>
      <c r="C38" s="1"/>
      <c r="E38" s="1" t="s">
        <v>104</v>
      </c>
      <c r="F38" s="1"/>
      <c r="H38" s="1" t="s">
        <v>105</v>
      </c>
      <c r="I38" s="1"/>
    </row>
    <row r="42" spans="2:9">
      <c r="D42" s="67" t="s">
        <v>106</v>
      </c>
      <c r="E42" s="67" t="s">
        <v>107</v>
      </c>
      <c r="F42" s="67" t="s">
        <v>108</v>
      </c>
      <c r="G42" s="67" t="s">
        <v>109</v>
      </c>
      <c r="H42" s="67" t="s">
        <v>2</v>
      </c>
    </row>
  </sheetData>
  <mergeCells count="5">
    <mergeCell ref="B2:D2"/>
    <mergeCell ref="B17:D17"/>
    <mergeCell ref="L26:M26"/>
    <mergeCell ref="H32:I32"/>
    <mergeCell ref="B19:D1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List!$A$2:$A$3</xm:f>
          </x14:formula1>
          <xm:sqref>C21</xm:sqref>
        </x14:dataValidation>
        <x14:dataValidation type="list" allowBlank="1" showInputMessage="1" showErrorMessage="1">
          <x14:formula1>
            <xm:f>'Policy Data'!$AB$4:$AB$7</xm:f>
          </x14:formula1>
          <xm:sqref>F21</xm:sqref>
        </x14:dataValidation>
        <x14:dataValidation type="list" allowBlank="1" showInputMessage="1" showErrorMessage="1">
          <x14:formula1>
            <xm:f>List!$D$2:$D$4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35"/>
  <sheetViews>
    <sheetView showGridLines="0" topLeftCell="A16" zoomScale="90" zoomScaleNormal="90" workbookViewId="0">
      <selection activeCell="D31" sqref="D31"/>
    </sheetView>
  </sheetViews>
  <sheetFormatPr defaultRowHeight="15"/>
  <cols>
    <col min="2" max="2" width="21.85546875" bestFit="1" customWidth="1"/>
    <col min="3" max="3" width="35" bestFit="1" customWidth="1"/>
    <col min="4" max="4" width="30.140625" bestFit="1" customWidth="1"/>
    <col min="5" max="5" width="27.5703125" bestFit="1" customWidth="1"/>
    <col min="6" max="6" width="43.42578125" bestFit="1" customWidth="1"/>
    <col min="7" max="7" width="24.5703125" bestFit="1" customWidth="1"/>
    <col min="8" max="8" width="27.7109375" bestFit="1" customWidth="1"/>
    <col min="9" max="9" width="39.28515625" bestFit="1" customWidth="1"/>
    <col min="10" max="10" width="24.5703125" bestFit="1" customWidth="1"/>
    <col min="11" max="11" width="22.28515625" customWidth="1"/>
    <col min="12" max="12" width="19.5703125" bestFit="1" customWidth="1"/>
    <col min="13" max="13" width="19.140625" bestFit="1" customWidth="1"/>
    <col min="14" max="14" width="8.42578125" bestFit="1" customWidth="1"/>
  </cols>
  <sheetData>
    <row r="5" spans="2:14">
      <c r="B5" s="2" t="s">
        <v>14</v>
      </c>
      <c r="C5" s="1" t="s">
        <v>123</v>
      </c>
      <c r="E5" s="2" t="s">
        <v>1</v>
      </c>
      <c r="F5" s="1" t="s">
        <v>11</v>
      </c>
      <c r="H5" s="2" t="s">
        <v>0</v>
      </c>
      <c r="I5" s="1" t="s">
        <v>15</v>
      </c>
    </row>
    <row r="10" spans="2:14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2:14">
      <c r="B11" s="37"/>
      <c r="C11" s="38" t="s">
        <v>95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2:14">
      <c r="B12" s="37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2:14">
      <c r="B13" s="37"/>
      <c r="C13" s="12" t="s">
        <v>49</v>
      </c>
      <c r="D13" s="12" t="s">
        <v>54</v>
      </c>
      <c r="E13" s="12" t="s">
        <v>3</v>
      </c>
      <c r="F13" s="12" t="str">
        <f>IF(C5="Co_insurance","Total Co-ins Share %", "Total LRI Share %")</f>
        <v>Total Co-ins Share %</v>
      </c>
      <c r="G13" s="12" t="str">
        <f>IF(C5="Co_insurance","Total Co-Ins Share", "Total LRI Share")</f>
        <v>Total Co-Ins Share</v>
      </c>
      <c r="H13" s="12" t="str">
        <f>IF(C5="Co_insurance","Co-Insurance Share %", "RI Facultative Share %")</f>
        <v>Co-Insurance Share %</v>
      </c>
      <c r="I13" s="12" t="str">
        <f>IF(C5="Co_insurance","Co-Insurance Share", "RI Facultative Share")</f>
        <v>Co-Insurance Share</v>
      </c>
      <c r="J13" s="12" t="str">
        <f>IF(C5="Co_insurance","Admin Charges", "RI Commission %")</f>
        <v>Admin Charges</v>
      </c>
      <c r="K13" s="12" t="str">
        <f>IF(C5="Co_insurance","VAT", "VAT on Commission")</f>
        <v>VAT</v>
      </c>
      <c r="L13" s="12" t="str">
        <f>IF(C5="Co-insurance","WHT", "WHT on Commission")</f>
        <v>WHT on Commission</v>
      </c>
      <c r="M13" s="12" t="str">
        <f>IF(C5="Co-insurance","Co-Ins Net Premium", "RI Net Premium")</f>
        <v>RI Net Premium</v>
      </c>
      <c r="N13" s="40"/>
    </row>
    <row r="14" spans="2:14">
      <c r="B14" s="37"/>
      <c r="C14" s="28">
        <f>IFERROR(INDEX('Policy Data'!E4:E15,MATCH('View Screen'!I5,'Policy Data'!B4:B12,0)),"Not Found")</f>
        <v>112500</v>
      </c>
      <c r="D14" s="72">
        <f>IFERROR(INDEX('Policy Data'!G4:G15,MATCH('View Screen'!I5,'Policy Data'!B4:B12,0)),"Not Found")</f>
        <v>14287.5</v>
      </c>
      <c r="E14" s="28">
        <f>IFERROR(INDEX('Policy Data'!J4:J15,MATCH('View Screen'!I5,'Policy Data'!B4:B12,0)),"Not Found")</f>
        <v>140872.5</v>
      </c>
      <c r="F14" s="56">
        <f t="array" ref="F14">IF(C5="Facultative_Outward",
    IFERROR(INDEX('Policy Data'!$X$4:$X$14,
        MATCH(1, (TRIM(I5)=TRIM('Policy Data'!$B$4:$B$14)) *
                 (TRIM(F5)=TRIM('Policy Data'!$AB$4:$AB$14)) *
                 (TRIM(C5)=TRIM('Policy Data'!$AA$4:$AA$14)), 0)
    ),"Not Found"),IFERROR(INDEX('Policy Data'!$K$4:$K$14,
        MATCH(1, (TRIM(I5)=TRIM('Policy Data'!$B$4:$B$14)) *
                 (TRIM(F5)=TRIM('Policy Data'!$AB$4:$AB$14)) *
                 (TRIM(C5)=TRIM('Policy Data'!$AA$4:$AA$14)), 0)
    ),"Not Found")
)</f>
        <v>0.2</v>
      </c>
      <c r="G14" s="29">
        <f t="array" ref="G14">IF(C5="Facultative_Outward",
    IFERROR(INDEX('Policy Data'!$Z$4:$Z$14,
        MATCH(1, (TRIM(I5)=TRIM('Policy Data'!$B$4:$B$14)) *
                 (TRIM(F5)=TRIM('Policy Data'!$AB$4:$AB$14)) *
                 (TRIM(C5)=TRIM('Policy Data'!$AA$4:$AA$14)), 0)
    ),"Not Found"),IFERROR(INDEX('Policy Data'!$M$4:$M$14,
        MATCH(1, (TRIM(I5)=TRIM('Policy Data'!$B$4:$B$14)) *
                 (TRIM(F5)=TRIM('Policy Data'!$AB$4:$AB$14)) *
                 (TRIM(C5)=TRIM('Policy Data'!$AA$4:$AA$14)), 0)
    ),"Not Found")
)</f>
        <v>22500</v>
      </c>
      <c r="H14" s="75">
        <f t="array" ref="H14">IF(C5="Facultative_Outward",
    IFERROR(INDEX('Policy Data'!$AC$4:$AC$14,
        MATCH(1, (TRIM(I5)=TRIM('Policy Data'!$B$4:$B$14)) *
                 (TRIM(F5)=TRIM('Policy Data'!$AB$4:$AB$14)) *
                 (TRIM(C5)=TRIM('Policy Data'!$AA$4:$AA$14)), 0)
    ),"Not Found"),IFERROR(INDEX('Policy Data'!$AC$4:$AC$14,
        MATCH(1, (TRIM(I5)=TRIM('Policy Data'!$B$4:$B$14)) *
                 (TRIM(F5)=TRIM('Policy Data'!$AB$4:$AB$14)) *
                 (TRIM(C5)=TRIM('Policy Data'!$AA$4:$AA$14)), 0)
    ),"Not Found")
)</f>
        <v>0.15</v>
      </c>
      <c r="I14" s="28">
        <f t="array" ref="I14">IF(C5="Facultative_Outward",
    IFERROR(INDEX('Policy Data'!$AE$4:$AE$14,
        MATCH(1, (TRIM(I5)=TRIM('Policy Data'!$B$4:$B$14)) *
                 (TRIM(F5)=TRIM('Policy Data'!$AB$4:$AB$14)) *
                 (TRIM(C5)=TRIM('Policy Data'!$AA$4:$AA$14)), 0)
    ),"Not Found"),IFERROR(INDEX('Policy Data'!$AE$4:$AE$14,
        MATCH(1, (TRIM(I5)=TRIM('Policy Data'!$B$4:$B$14)) *
                 (TRIM(F5)=TRIM('Policy Data'!$AB$4:$AB$14)) *
                 (TRIM(C5)=TRIM('Policy Data'!$AA$4:$AA$14)), 0)
    ),"Not Found")
)</f>
        <v>16874.999999999996</v>
      </c>
      <c r="J14" s="28">
        <f t="array" ref="J14">IF(C5="Facultative_Outward",
    IFERROR(INDEX('Policy Data'!$AG$4:$AG$14,
        MATCH(1, (TRIM(I5)=TRIM('Policy Data'!$B$4:$B$14)) *
                 (TRIM(F5)=TRIM('Policy Data'!$AB$4:$AB$14)) *
                 (TRIM(C5)=TRIM('Policy Data'!$AA$4:$AA$14)), 0)
    ),"Not Found"),IFERROR(INDEX('Policy Data'!$AG$4:$AG$14,
        MATCH(1, (TRIM(I5)=TRIM('Policy Data'!$B$4:$B$14)) *
                 (TRIM(F5)=TRIM('Policy Data'!$AB$4:$AB$14)) *
                 (TRIM(C5)=TRIM('Policy Data'!$AA$4:$AA$14)), 0)
    ),"Not Found")
)</f>
        <v>2024.9999999999995</v>
      </c>
      <c r="K14" s="28">
        <f t="array" ref="K14">IF(C5="Facultative_Outward",
    IFERROR(INDEX('Policy Data'!$AI$4:$AI$14,
        MATCH(1, (TRIM(I5)=TRIM('Policy Data'!$B$4:$B$14)) *
                 (TRIM(F5)=TRIM('Policy Data'!$AB$4:$AB$14)) *
                 (TRIM(C5)=TRIM('Policy Data'!$AA$4:$AA$14)), 0)
    ),"Not Found"),IFERROR(INDEX('Policy Data'!$AI$4:$AI$14,
        MATCH(1, (TRIM(I5)=TRIM('Policy Data'!$B$4:$B$14)) *
                 (TRIM(F5)=TRIM('Policy Data'!$AB$4:$AB$14)) *
                 (TRIM(C5)=TRIM('Policy Data'!$AA$4:$AA$14)), 0)
    ),"Not Found")
)</f>
        <v>843.74999999999989</v>
      </c>
      <c r="L14" s="28">
        <f t="array" ref="L14">IF(C5="Facultative_Outward",
    IFERROR(INDEX('Policy Data'!$AK$4:$AK$14,
        MATCH(1, (TRIM(I5)=TRIM('Policy Data'!$B$4:$B$14)) *
                 (TRIM(F5)=TRIM('Policy Data'!$AB$4:$AB$14)) *
                 (TRIM(C5)=TRIM('Policy Data'!$AA$4:$AA$14)), 0)
    ),"Not Found"),IFERROR(INDEX('Policy Data'!$AK$4:$AK$14,
        MATCH(1, (TRIM(I5)=TRIM('Policy Data'!$B$4:$B$14)) *
                 (TRIM(F5)=TRIM('Policy Data'!$AB$4:$AB$14)) *
                 (TRIM(C5)=TRIM('Policy Data'!$AA$4:$AA$14)), 0)
    ),"Not Found")
)</f>
        <v>506.24999999999989</v>
      </c>
      <c r="M14" s="30">
        <f>I14-(J14+K14-L14)</f>
        <v>14512.499999999996</v>
      </c>
      <c r="N14" s="40"/>
    </row>
    <row r="15" spans="2:14">
      <c r="B15" s="41"/>
      <c r="C15" s="42"/>
      <c r="D15" s="42"/>
      <c r="E15" s="73"/>
      <c r="F15" s="42"/>
      <c r="G15" s="42"/>
      <c r="H15" s="43"/>
      <c r="I15" s="44"/>
      <c r="J15" s="44"/>
      <c r="K15" s="74"/>
      <c r="L15" s="74"/>
      <c r="M15" s="74"/>
      <c r="N15" s="45"/>
    </row>
    <row r="16" spans="2:14">
      <c r="B16" s="23"/>
      <c r="C16" s="24"/>
      <c r="D16" s="24"/>
      <c r="E16" s="25"/>
      <c r="F16" s="24"/>
      <c r="G16" s="24"/>
      <c r="H16" s="26"/>
      <c r="I16" s="39"/>
      <c r="J16" s="39"/>
      <c r="K16" s="39"/>
    </row>
    <row r="17" spans="2:12">
      <c r="B17" s="46"/>
      <c r="C17" s="47"/>
      <c r="D17" s="47"/>
      <c r="E17" s="48"/>
      <c r="F17" s="47"/>
      <c r="G17" s="47"/>
      <c r="H17" s="49"/>
      <c r="I17" s="35"/>
      <c r="J17" s="35"/>
      <c r="K17" s="35"/>
      <c r="L17" s="36"/>
    </row>
    <row r="18" spans="2:12">
      <c r="B18" s="37"/>
      <c r="C18" s="32" t="s">
        <v>96</v>
      </c>
      <c r="D18" s="24"/>
      <c r="E18" s="24"/>
      <c r="F18" s="24"/>
      <c r="G18" s="24"/>
      <c r="H18" s="26"/>
      <c r="I18" s="39"/>
      <c r="J18" s="39"/>
      <c r="K18" s="39"/>
      <c r="L18" s="40"/>
    </row>
    <row r="19" spans="2:12">
      <c r="B19" s="37"/>
      <c r="C19" s="32"/>
      <c r="D19" s="24"/>
      <c r="E19" s="24"/>
      <c r="F19" s="24"/>
      <c r="G19" s="24"/>
      <c r="H19" s="26"/>
      <c r="I19" s="39"/>
      <c r="J19" s="39"/>
      <c r="K19" s="39"/>
      <c r="L19" s="40"/>
    </row>
    <row r="20" spans="2:12">
      <c r="B20" s="37"/>
      <c r="C20" s="12" t="s">
        <v>59</v>
      </c>
      <c r="D20" s="12" t="s">
        <v>50</v>
      </c>
      <c r="E20" s="12" t="s">
        <v>47</v>
      </c>
      <c r="F20" s="24"/>
      <c r="G20" s="24"/>
      <c r="H20" s="26"/>
      <c r="I20" s="39"/>
      <c r="J20" s="39"/>
      <c r="K20" s="39"/>
      <c r="L20" s="40"/>
    </row>
    <row r="21" spans="2:12">
      <c r="B21" s="37"/>
      <c r="C21" s="77">
        <f>IFERROR(INDEX('Policy Data'!J4:J15,MATCH('View Screen'!I5,'Policy Data'!B4:B12,0)),"Not Found")</f>
        <v>140872.5</v>
      </c>
      <c r="D21" s="28">
        <f>IFERROR(INDEX('Policy Data'!AN4:AN15,MATCH('View Screen'!I5,'Policy Data'!B4:B12,0)),"Not Found")</f>
        <v>25000</v>
      </c>
      <c r="E21" s="28">
        <f>IFERROR(INDEX('Policy Data'!AO4:AO15,MATCH('View Screen'!I5,'Policy Data'!B4:B12,0)),"Not Found")</f>
        <v>115872.5</v>
      </c>
      <c r="F21" s="24"/>
      <c r="G21" s="24"/>
      <c r="H21" s="26"/>
      <c r="I21" s="39"/>
      <c r="J21" s="39"/>
      <c r="K21" s="39"/>
      <c r="L21" s="40"/>
    </row>
    <row r="22" spans="2:12">
      <c r="B22" s="37"/>
      <c r="C22" s="33"/>
      <c r="D22" s="24"/>
      <c r="E22" s="24"/>
      <c r="F22" s="24"/>
      <c r="G22" s="24"/>
      <c r="H22" s="26"/>
      <c r="I22" s="39"/>
      <c r="J22" s="39"/>
      <c r="K22" s="39"/>
      <c r="L22" s="40"/>
    </row>
    <row r="23" spans="2:12">
      <c r="B23" s="51"/>
      <c r="C23" s="2" t="s">
        <v>66</v>
      </c>
      <c r="D23" s="39"/>
      <c r="E23" s="39"/>
      <c r="F23" s="39"/>
      <c r="G23" s="39"/>
      <c r="H23" s="39"/>
      <c r="I23" s="39"/>
      <c r="J23" s="39"/>
      <c r="K23" s="39"/>
      <c r="L23" s="40"/>
    </row>
    <row r="24" spans="2:12">
      <c r="B24" s="37"/>
      <c r="C24" s="12" t="s">
        <v>60</v>
      </c>
      <c r="D24" s="12" t="s">
        <v>56</v>
      </c>
      <c r="E24" s="12" t="s">
        <v>17</v>
      </c>
      <c r="F24" s="12" t="s">
        <v>61</v>
      </c>
      <c r="G24" s="12" t="s">
        <v>62</v>
      </c>
      <c r="H24" s="12" t="s">
        <v>63</v>
      </c>
      <c r="I24" s="12" t="s">
        <v>58</v>
      </c>
      <c r="J24" s="12" t="s">
        <v>64</v>
      </c>
      <c r="K24" s="12" t="s">
        <v>65</v>
      </c>
      <c r="L24" s="40"/>
    </row>
    <row r="25" spans="2:12">
      <c r="B25" s="37"/>
      <c r="C25" s="27" t="s">
        <v>128</v>
      </c>
      <c r="D25" s="79">
        <v>45310</v>
      </c>
      <c r="E25" s="28"/>
      <c r="F25" s="66"/>
      <c r="G25" s="29"/>
      <c r="H25" s="28"/>
      <c r="I25" s="28"/>
      <c r="J25" s="66"/>
      <c r="K25" s="66"/>
      <c r="L25" s="40"/>
    </row>
    <row r="26" spans="2:12">
      <c r="B26" s="37"/>
      <c r="C26" s="27" t="s">
        <v>129</v>
      </c>
      <c r="D26" s="79">
        <v>45316</v>
      </c>
      <c r="E26" s="28"/>
      <c r="F26" s="66"/>
      <c r="G26" s="29"/>
      <c r="H26" s="28"/>
      <c r="I26" s="28"/>
      <c r="J26" s="66"/>
      <c r="K26" s="66"/>
      <c r="L26" s="40"/>
    </row>
    <row r="27" spans="2:12">
      <c r="B27" s="37"/>
      <c r="C27" s="65"/>
      <c r="D27" s="54"/>
      <c r="E27" s="54"/>
      <c r="F27" s="52"/>
      <c r="G27" s="53"/>
      <c r="H27" s="54"/>
      <c r="I27" s="54"/>
      <c r="J27" s="39"/>
      <c r="K27" s="39"/>
      <c r="L27" s="40"/>
    </row>
    <row r="28" spans="2:12">
      <c r="B28" s="37"/>
      <c r="L28" s="40"/>
    </row>
    <row r="29" spans="2:12">
      <c r="B29" s="50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2:12">
      <c r="B30" s="23"/>
      <c r="C30" s="24"/>
      <c r="D30" s="24"/>
      <c r="E30" s="25"/>
      <c r="F30" s="24"/>
      <c r="G30" s="24"/>
      <c r="H30" s="26"/>
    </row>
    <row r="31" spans="2:12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2:12">
      <c r="B32" s="37"/>
      <c r="C32" s="57" t="s">
        <v>45</v>
      </c>
      <c r="D32" s="39"/>
      <c r="E32" s="39"/>
      <c r="F32" s="39"/>
      <c r="G32" s="39"/>
      <c r="H32" s="39"/>
      <c r="I32" s="39"/>
      <c r="J32" s="39"/>
      <c r="K32" s="39"/>
      <c r="L32" s="40"/>
    </row>
    <row r="33" spans="2:12">
      <c r="B33" s="37"/>
      <c r="C33" s="14" t="s">
        <v>50</v>
      </c>
      <c r="D33" s="14" t="s">
        <v>70</v>
      </c>
      <c r="E33" s="14" t="str">
        <f>IF(C5="Co-insurance","Paid Co-Ins Premium", "Paid RI Premium %")</f>
        <v>Paid RI Premium %</v>
      </c>
      <c r="F33" s="14" t="str">
        <f>IF(C5="Co_insurance","Applicable Co-Ins Premium to Pay", "Applicable RI Premium to Pay")</f>
        <v>Applicable Co-Ins Premium to Pay</v>
      </c>
      <c r="G33" s="14" t="str">
        <f>IF(C5="Co_insurance","Admin Charges", "RI Commission")</f>
        <v>Admin Charges</v>
      </c>
      <c r="H33" s="14" t="str">
        <f>IF(C5="Co_insurance","VAT", "VAT on Commission")</f>
        <v>VAT</v>
      </c>
      <c r="I33" s="14" t="str">
        <f>IF(C5="Co_insurance","WHT", "WHT on Commission")</f>
        <v>WHT</v>
      </c>
      <c r="J33" s="14" t="str">
        <f>IF(C5="Co-insurance","Co-Ins net Premium", "RI net premium")</f>
        <v>RI net premium</v>
      </c>
      <c r="K33" s="14"/>
      <c r="L33" s="40"/>
    </row>
    <row r="34" spans="2:12">
      <c r="B34" s="37"/>
      <c r="C34" s="81">
        <f>IFERROR(INDEX('Policy Data'!AN4:AN15,MATCH('View Screen'!I5,'Policy Data'!B4:B12,0)),"Not Found")</f>
        <v>25000</v>
      </c>
      <c r="D34" s="28">
        <f>IF(C34&gt;D14,D14,C34)</f>
        <v>14287.5</v>
      </c>
      <c r="E34" s="66">
        <f t="array" ref="E34">IF(C5="Facultative_Outward",
    IFERROR(INDEX('Policy Data'!$AP$4:$AP$14,
        MATCH(1, (TRIM(I5)=TRIM('Policy Data'!$B$4:$B$14)) *
                 (TRIM(F5)=TRIM('Policy Data'!$AB$4:$AB$14)) *
                 (TRIM(C5)=TRIM('Policy Data'!$AA$4:$AA$14)), 0)
    ),"Not Found"),IFERROR(INDEX('Policy Data'!$AP$4:$AP$14,
        MATCH(1, (TRIM(I5)=TRIM('Policy Data'!$B$4:$B$14)) *
                 (TRIM(F5)=TRIM('Policy Data'!$AB$4:$AB$14)) *
                 (TRIM(C5)=TRIM('Policy Data'!$AA$4:$AA$14)), 0)
    ),"Not Found")
)</f>
        <v>0</v>
      </c>
      <c r="F34" s="30">
        <f>IF((C34-D14)&gt;0,(((C34-D14)/C14)*I14)-E34,-E34)</f>
        <v>1606.8749999999995</v>
      </c>
      <c r="G34" s="30">
        <f t="array" ref="G34">F34*IF(C5="Facultative_Outward",
    IFERROR(INDEX('Policy Data'!$AF$4:$AF$14,
        MATCH(1, (TRIM(I5)=TRIM('Policy Data'!$B$4:$B$14)) *
                 (TRIM(F5)=TRIM('Policy Data'!$AB$4:$AB$14)) *
                 (TRIM(C5)=TRIM('Policy Data'!$AA$4:$AA$14)), 0)
    ),"Not Found"),IFERROR(INDEX('Policy Data'!$AF$4:$AF$14,
        MATCH(1, (TRIM(I5)=TRIM('Policy Data'!$B$4:$B$14)) *
                 (TRIM(F5)=TRIM('Policy Data'!$AB$4:$AB$14)) *
                 (TRIM(C5)=TRIM('Policy Data'!$AA$4:$AA$14)), 0)
    ),"Not Found")
)</f>
        <v>192.82499999999993</v>
      </c>
      <c r="H34" s="76">
        <f t="array" ref="H34">F34*IF(C5="Facultative_Outward",
    IFERROR(INDEX('Policy Data'!$AH$4:$AH$14,
        MATCH(1, (TRIM(I5)=TRIM('Policy Data'!$B$4:$B$14)) *
                 (TRIM(F5)=TRIM('Policy Data'!$AB$4:$AB$14)) *
                 (TRIM(C5)=TRIM('Policy Data'!$AA$4:$AA$14)), 0)
    ),"Not Found"),IFERROR(INDEX('Policy Data'!$AH$4:$AH$14,
        MATCH(1, (TRIM(I5)=TRIM('Policy Data'!$B$4:$B$14)) *
                 (TRIM(F5)=TRIM('Policy Data'!$AB$4:$AB$14)) *
                 (TRIM(C5)=TRIM('Policy Data'!$AA$4:$AA$14)), 0)
    ),"Not Found")
)</f>
        <v>80.343749999999986</v>
      </c>
      <c r="I34" s="82">
        <f t="array" ref="I34">F34*IF(C5="Facultative_Outward",
    IFERROR(INDEX('Policy Data'!$AJ$4:$AJ$14,
        MATCH(1, (TRIM(I5)=TRIM('Policy Data'!$B$4:$B$14)) *
                 (TRIM(F5)=TRIM('Policy Data'!$AB$4:$AB$14)) *
                 (TRIM(C5)=TRIM('Policy Data'!$AA$4:$AA$14)), 0)
    ),"Not Found"),IFERROR(INDEX('Policy Data'!$AJ$4:$AJ$14,
        MATCH(1, (TRIM(I5)=TRIM('Policy Data'!$B$4:$B$14)) *
                 (TRIM(F5)=TRIM('Policy Data'!$AB$4:$AB$14)) *
                 (TRIM(C5)=TRIM('Policy Data'!$AA$4:$AA$14)), 0)
    ),"Not Found")
)</f>
        <v>48.206249999999983</v>
      </c>
      <c r="J34" s="80">
        <f>F34-(G34+H34-I34)</f>
        <v>1381.9124999999997</v>
      </c>
      <c r="K34" s="7"/>
      <c r="L34" s="40"/>
    </row>
    <row r="35" spans="2:12">
      <c r="B35" s="68"/>
      <c r="C35" s="69"/>
      <c r="D35" s="70"/>
      <c r="E35" s="70"/>
      <c r="F35" s="70"/>
      <c r="G35" s="44"/>
      <c r="H35" s="44"/>
      <c r="I35" s="44"/>
      <c r="J35" s="44"/>
      <c r="K35" s="44"/>
      <c r="L35" s="45"/>
    </row>
  </sheetData>
  <dataValidations count="1">
    <dataValidation type="list" allowBlank="1" showInputMessage="1" showErrorMessage="1" sqref="F5">
      <formula1>INDIRECT($C$5)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List!$A$2:$A$3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tabSelected="1" workbookViewId="0">
      <selection activeCell="B4" sqref="B4"/>
    </sheetView>
  </sheetViews>
  <sheetFormatPr defaultRowHeight="15"/>
  <cols>
    <col min="2" max="2" width="18.85546875" bestFit="1" customWidth="1"/>
    <col min="3" max="3" width="18.85546875" customWidth="1"/>
    <col min="4" max="4" width="13.7109375" bestFit="1" customWidth="1"/>
    <col min="5" max="5" width="15" bestFit="1" customWidth="1"/>
    <col min="6" max="10" width="15" customWidth="1"/>
    <col min="11" max="11" width="18.42578125" bestFit="1" customWidth="1"/>
    <col min="12" max="12" width="21.5703125" bestFit="1" customWidth="1"/>
    <col min="13" max="23" width="21.5703125" customWidth="1"/>
    <col min="24" max="24" width="16.28515625" bestFit="1" customWidth="1"/>
    <col min="25" max="25" width="12.7109375" bestFit="1" customWidth="1"/>
    <col min="26" max="26" width="19.5703125" bestFit="1" customWidth="1"/>
    <col min="27" max="27" width="23.140625" bestFit="1" customWidth="1"/>
    <col min="28" max="28" width="46.42578125" bestFit="1" customWidth="1"/>
    <col min="29" max="29" width="8" bestFit="1" customWidth="1"/>
    <col min="30" max="30" width="15.28515625" bestFit="1" customWidth="1"/>
    <col min="31" max="31" width="19.42578125" bestFit="1" customWidth="1"/>
    <col min="32" max="32" width="26.42578125" bestFit="1" customWidth="1"/>
    <col min="33" max="33" width="33.5703125" bestFit="1" customWidth="1"/>
    <col min="34" max="34" width="6.5703125" bestFit="1" customWidth="1"/>
    <col min="35" max="35" width="26.5703125" bestFit="1" customWidth="1"/>
    <col min="36" max="36" width="7.28515625" bestFit="1" customWidth="1"/>
    <col min="37" max="37" width="28" bestFit="1" customWidth="1"/>
    <col min="38" max="38" width="16" bestFit="1" customWidth="1"/>
    <col min="39" max="39" width="12.85546875" bestFit="1" customWidth="1"/>
    <col min="40" max="40" width="23.85546875" bestFit="1" customWidth="1"/>
    <col min="41" max="41" width="26.7109375" bestFit="1" customWidth="1"/>
    <col min="42" max="42" width="20.7109375" bestFit="1" customWidth="1"/>
    <col min="43" max="43" width="23" bestFit="1" customWidth="1"/>
  </cols>
  <sheetData>
    <row r="1" spans="1:4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43">
      <c r="AI2" s="3">
        <v>0.05</v>
      </c>
      <c r="AJ2" s="3"/>
      <c r="AK2" s="3">
        <v>0.03</v>
      </c>
      <c r="AL2" s="3"/>
    </row>
    <row r="3" spans="1:43">
      <c r="A3" s="2" t="s">
        <v>39</v>
      </c>
      <c r="B3" s="8" t="s">
        <v>0</v>
      </c>
      <c r="C3" s="8" t="s">
        <v>16</v>
      </c>
      <c r="D3" s="8" t="s">
        <v>19</v>
      </c>
      <c r="E3" s="8" t="s">
        <v>17</v>
      </c>
      <c r="F3" s="31" t="s">
        <v>51</v>
      </c>
      <c r="G3" s="8" t="s">
        <v>44</v>
      </c>
      <c r="H3" s="31" t="s">
        <v>52</v>
      </c>
      <c r="I3" s="31" t="s">
        <v>55</v>
      </c>
      <c r="J3" s="8" t="s">
        <v>3</v>
      </c>
      <c r="K3" s="8" t="s">
        <v>18</v>
      </c>
      <c r="L3" s="8" t="s">
        <v>43</v>
      </c>
      <c r="M3" s="8" t="s">
        <v>20</v>
      </c>
      <c r="N3" s="8" t="s">
        <v>27</v>
      </c>
      <c r="O3" s="12" t="s">
        <v>33</v>
      </c>
      <c r="P3" s="12" t="s">
        <v>34</v>
      </c>
      <c r="Q3" s="12" t="s">
        <v>35</v>
      </c>
      <c r="R3" s="13" t="s">
        <v>32</v>
      </c>
      <c r="S3" s="13" t="s">
        <v>36</v>
      </c>
      <c r="T3" s="13" t="s">
        <v>37</v>
      </c>
      <c r="U3" s="12" t="s">
        <v>40</v>
      </c>
      <c r="V3" s="12" t="s">
        <v>41</v>
      </c>
      <c r="W3" s="12" t="s">
        <v>42</v>
      </c>
      <c r="X3" s="15" t="s">
        <v>113</v>
      </c>
      <c r="Y3" s="15" t="s">
        <v>21</v>
      </c>
      <c r="Z3" s="15" t="s">
        <v>22</v>
      </c>
      <c r="AA3" s="8" t="s">
        <v>4</v>
      </c>
      <c r="AB3" s="8" t="s">
        <v>7</v>
      </c>
      <c r="AC3" s="8" t="s">
        <v>12</v>
      </c>
      <c r="AD3" s="8" t="s">
        <v>5</v>
      </c>
      <c r="AE3" s="8" t="s">
        <v>71</v>
      </c>
      <c r="AF3" s="8" t="s">
        <v>114</v>
      </c>
      <c r="AG3" s="8" t="s">
        <v>115</v>
      </c>
      <c r="AH3" s="64" t="s">
        <v>118</v>
      </c>
      <c r="AI3" s="8" t="s">
        <v>116</v>
      </c>
      <c r="AJ3" s="64" t="s">
        <v>119</v>
      </c>
      <c r="AK3" s="8" t="s">
        <v>117</v>
      </c>
      <c r="AL3" s="8" t="s">
        <v>23</v>
      </c>
      <c r="AM3" s="8" t="s">
        <v>6</v>
      </c>
      <c r="AN3" s="64" t="s">
        <v>120</v>
      </c>
      <c r="AO3" s="64" t="s">
        <v>121</v>
      </c>
      <c r="AP3" s="9" t="s">
        <v>46</v>
      </c>
      <c r="AQ3" s="9" t="s">
        <v>48</v>
      </c>
    </row>
    <row r="4" spans="1:43">
      <c r="A4" s="17">
        <v>2024</v>
      </c>
      <c r="B4" s="17" t="s">
        <v>15</v>
      </c>
      <c r="C4" s="18">
        <v>450000000</v>
      </c>
      <c r="D4" s="19">
        <v>2.5000000000000001E-4</v>
      </c>
      <c r="E4" s="20">
        <f>C4*D4</f>
        <v>112500</v>
      </c>
      <c r="F4" s="20">
        <f>E4*12.5%</f>
        <v>14062.5</v>
      </c>
      <c r="G4" s="20">
        <f>(E4*12.5%)+(E4*0.2%)</f>
        <v>14287.5</v>
      </c>
      <c r="H4" s="20">
        <f>E4*0.02%</f>
        <v>22.5</v>
      </c>
      <c r="I4" s="20"/>
      <c r="J4" s="20">
        <f>E4+F4+G4+H4+I4</f>
        <v>140872.5</v>
      </c>
      <c r="K4" s="21">
        <v>0.2</v>
      </c>
      <c r="L4" s="20">
        <f>C4*K4</f>
        <v>90000000</v>
      </c>
      <c r="M4" s="20">
        <f>E4*K4</f>
        <v>22500</v>
      </c>
      <c r="N4" s="20">
        <f>IF((C4-L4)&gt;'Fire Treaty Limit'!$E$7,'Fire Treaty Limit'!$E$7,(C4-L4))</f>
        <v>60000000</v>
      </c>
      <c r="O4" s="20">
        <f>P4/C4</f>
        <v>0</v>
      </c>
      <c r="P4" s="20">
        <f>N4*'Fire Treaty Limit'!C8</f>
        <v>0</v>
      </c>
      <c r="Q4" s="20">
        <f>E4*O4</f>
        <v>0</v>
      </c>
      <c r="R4" s="22">
        <f>S4/C4</f>
        <v>0.13333333333333333</v>
      </c>
      <c r="S4" s="20">
        <f>N4-P4</f>
        <v>60000000</v>
      </c>
      <c r="T4" s="20">
        <f>$E$4*$R$4</f>
        <v>15000</v>
      </c>
      <c r="U4" s="20">
        <f>V4/C4</f>
        <v>0</v>
      </c>
      <c r="V4" s="20">
        <f>IF(($C$4-$L$4-$N$4)&gt;'Fire Treaty Limit'!$E$10,'Fire Treaty Limit'!$E$10,($C$4-$L$4-$N$4))</f>
        <v>0</v>
      </c>
      <c r="W4" s="20">
        <f>E4*U4</f>
        <v>0</v>
      </c>
      <c r="X4" s="22">
        <f>Y4/C4</f>
        <v>0.66666666666666663</v>
      </c>
      <c r="Y4" s="18">
        <f>C4-L4-N4-V4</f>
        <v>300000000</v>
      </c>
      <c r="Z4" s="18">
        <f>E4*X4</f>
        <v>75000</v>
      </c>
      <c r="AA4" s="1" t="s">
        <v>124</v>
      </c>
      <c r="AB4" t="s">
        <v>8</v>
      </c>
      <c r="AC4" s="5">
        <v>0.1</v>
      </c>
      <c r="AD4" s="6">
        <f>Y4*AC4</f>
        <v>30000000</v>
      </c>
      <c r="AE4" s="6">
        <f t="shared" ref="AE4:AE7" si="0">E$4*X$4*AC4</f>
        <v>7500</v>
      </c>
      <c r="AF4" s="5">
        <v>0.12</v>
      </c>
      <c r="AG4" s="6">
        <f>AE4*AF4</f>
        <v>900</v>
      </c>
      <c r="AH4" s="71">
        <v>0.05</v>
      </c>
      <c r="AI4" s="6">
        <f>IF(AA4="Facultative_outward",AG4*AH4,AE4*AH4)</f>
        <v>45</v>
      </c>
      <c r="AJ4" s="71">
        <v>0.03</v>
      </c>
      <c r="AK4" s="6">
        <f>IF(AA4="Facultative_outward",AG4*AJ4,AE4*AJ4)</f>
        <v>27</v>
      </c>
      <c r="AL4" s="6">
        <f>AG4+AI4-AK4</f>
        <v>918</v>
      </c>
      <c r="AM4" s="6">
        <f>AE4-(AG4+AI4-AK4)</f>
        <v>6582</v>
      </c>
      <c r="AN4" s="6">
        <v>25000</v>
      </c>
      <c r="AO4" s="16">
        <f>J4-AN4</f>
        <v>115872.5</v>
      </c>
      <c r="AP4" s="1"/>
      <c r="AQ4" s="16">
        <f t="shared" ref="AQ4:AQ9" si="1">AM4-AP4</f>
        <v>6582</v>
      </c>
    </row>
    <row r="5" spans="1:43">
      <c r="A5" s="17">
        <v>2024</v>
      </c>
      <c r="B5" s="17" t="s">
        <v>15</v>
      </c>
      <c r="C5" s="18">
        <v>450000000</v>
      </c>
      <c r="D5" s="19">
        <v>2.5000000000000001E-4</v>
      </c>
      <c r="E5" s="20">
        <f t="shared" ref="E5:E7" si="2">C5*D5</f>
        <v>112500</v>
      </c>
      <c r="F5" s="20">
        <f t="shared" ref="F5:F9" si="3">E5*12.5%</f>
        <v>14062.5</v>
      </c>
      <c r="G5" s="20">
        <f t="shared" ref="G5:G7" si="4">(E5*12.5%)+(E5*0.2%)</f>
        <v>14287.5</v>
      </c>
      <c r="H5" s="20">
        <f t="shared" ref="H5:H7" si="5">E5*0.02%</f>
        <v>22.5</v>
      </c>
      <c r="I5" s="20"/>
      <c r="J5" s="20">
        <f t="shared" ref="J5:J7" si="6">E5+F5+G5+H5+I5</f>
        <v>140872.5</v>
      </c>
      <c r="K5" s="21">
        <v>0.2</v>
      </c>
      <c r="L5" s="20">
        <f t="shared" ref="L5:L7" si="7">C5*K5</f>
        <v>90000000</v>
      </c>
      <c r="M5" s="20">
        <f t="shared" ref="M5:M7" si="8">E5*K5</f>
        <v>22500</v>
      </c>
      <c r="N5" s="20">
        <f>IF((C5-L5)&gt;'Fire Treaty Limit'!$E$7,'Fire Treaty Limit'!$E$7,(C5-L5))</f>
        <v>60000000</v>
      </c>
      <c r="O5" s="20">
        <f t="shared" ref="O5:O7" si="9">P5/C5</f>
        <v>0</v>
      </c>
      <c r="P5" s="20">
        <f>N5*'Fire Treaty Limit'!C9</f>
        <v>0</v>
      </c>
      <c r="Q5" s="20">
        <f t="shared" ref="Q5:Q7" si="10">E5*O5</f>
        <v>0</v>
      </c>
      <c r="R5" s="22">
        <f t="shared" ref="R5:R7" si="11">S5/C5</f>
        <v>0.13333333333333333</v>
      </c>
      <c r="S5" s="20">
        <f t="shared" ref="S5:S7" si="12">N5-P5</f>
        <v>60000000</v>
      </c>
      <c r="T5" s="20">
        <f t="shared" ref="T5:T9" si="13">$E$4*$R$4</f>
        <v>15000</v>
      </c>
      <c r="U5" s="20">
        <f t="shared" ref="U5:U7" si="14">V5/C5</f>
        <v>0</v>
      </c>
      <c r="V5" s="20">
        <f>IF(($C$4-$L$4-$N$4)&gt;'Fire Treaty Limit'!$E$10,'Fire Treaty Limit'!$E$10,($C$4-$L$4-$N$4))</f>
        <v>0</v>
      </c>
      <c r="W5" s="20">
        <f t="shared" ref="W5:W7" si="15">E5*U5</f>
        <v>0</v>
      </c>
      <c r="X5" s="22">
        <f t="shared" ref="X5:X7" si="16">Y5/C5</f>
        <v>0.66666666666666663</v>
      </c>
      <c r="Y5" s="18">
        <f t="shared" ref="Y5:Y7" si="17">C5-L5-N5-V5</f>
        <v>300000000</v>
      </c>
      <c r="Z5" s="18">
        <f t="shared" ref="Z5:Z7" si="18">E5*X5</f>
        <v>75000</v>
      </c>
      <c r="AA5" s="1" t="s">
        <v>124</v>
      </c>
      <c r="AB5" t="s">
        <v>9</v>
      </c>
      <c r="AC5" s="5">
        <v>0.2</v>
      </c>
      <c r="AD5" s="6">
        <f>Y5*AC5</f>
        <v>60000000</v>
      </c>
      <c r="AE5" s="6">
        <f t="shared" si="0"/>
        <v>15000</v>
      </c>
      <c r="AF5" s="5">
        <v>0.12</v>
      </c>
      <c r="AG5" s="6">
        <f t="shared" ref="AG5:AG7" si="19">AE5*AF5</f>
        <v>1800</v>
      </c>
      <c r="AH5" s="71">
        <v>0.05</v>
      </c>
      <c r="AI5" s="6">
        <f t="shared" ref="AI5:AI9" si="20">IF(AA5="Facultative_outward",AG5*AH5,AE5*AH5)</f>
        <v>90</v>
      </c>
      <c r="AJ5" s="71">
        <v>0.03</v>
      </c>
      <c r="AK5" s="6">
        <f t="shared" ref="AK5:AK9" si="21">IF(AA5="Facultative_outward",AG5*AJ5,AE5*AJ5)</f>
        <v>54</v>
      </c>
      <c r="AL5" s="6">
        <f t="shared" ref="AL5:AL7" si="22">AG5+AI5-AK5</f>
        <v>1836</v>
      </c>
      <c r="AM5" s="6">
        <f t="shared" ref="AM5:AM7" si="23">AE5-(AG5+AI5-AK5)</f>
        <v>13164</v>
      </c>
      <c r="AN5" s="6">
        <v>25000</v>
      </c>
      <c r="AO5" s="16">
        <f t="shared" ref="AO5:AO9" si="24">J5-AN5</f>
        <v>115872.5</v>
      </c>
      <c r="AP5" s="1"/>
      <c r="AQ5" s="16">
        <f t="shared" si="1"/>
        <v>13164</v>
      </c>
    </row>
    <row r="6" spans="1:43">
      <c r="A6" s="17">
        <v>2024</v>
      </c>
      <c r="B6" s="17" t="s">
        <v>15</v>
      </c>
      <c r="C6" s="18">
        <v>450000000</v>
      </c>
      <c r="D6" s="19">
        <v>2.5000000000000001E-4</v>
      </c>
      <c r="E6" s="20">
        <f t="shared" si="2"/>
        <v>112500</v>
      </c>
      <c r="F6" s="20">
        <f t="shared" si="3"/>
        <v>14062.5</v>
      </c>
      <c r="G6" s="20">
        <f t="shared" si="4"/>
        <v>14287.5</v>
      </c>
      <c r="H6" s="20">
        <f t="shared" si="5"/>
        <v>22.5</v>
      </c>
      <c r="I6" s="20"/>
      <c r="J6" s="20">
        <f t="shared" si="6"/>
        <v>140872.5</v>
      </c>
      <c r="K6" s="21">
        <v>0.2</v>
      </c>
      <c r="L6" s="20">
        <f t="shared" si="7"/>
        <v>90000000</v>
      </c>
      <c r="M6" s="20">
        <f t="shared" si="8"/>
        <v>22500</v>
      </c>
      <c r="N6" s="20">
        <f>IF((C6-L6)&gt;'Fire Treaty Limit'!$E$7,'Fire Treaty Limit'!$E$7,(C6-L6))</f>
        <v>60000000</v>
      </c>
      <c r="O6" s="20">
        <f t="shared" si="9"/>
        <v>0</v>
      </c>
      <c r="P6" s="20">
        <f>N6*'Fire Treaty Limit'!C10</f>
        <v>0</v>
      </c>
      <c r="Q6" s="20">
        <f t="shared" si="10"/>
        <v>0</v>
      </c>
      <c r="R6" s="22">
        <f t="shared" si="11"/>
        <v>0.13333333333333333</v>
      </c>
      <c r="S6" s="20">
        <f t="shared" si="12"/>
        <v>60000000</v>
      </c>
      <c r="T6" s="20">
        <f t="shared" si="13"/>
        <v>15000</v>
      </c>
      <c r="U6" s="20">
        <f t="shared" si="14"/>
        <v>0</v>
      </c>
      <c r="V6" s="20">
        <f>IF(($C$4-$L$4-$N$4)&gt;'Fire Treaty Limit'!$E$10,'Fire Treaty Limit'!$E$10,($C$4-$L$4-$N$4))</f>
        <v>0</v>
      </c>
      <c r="W6" s="20">
        <f t="shared" si="15"/>
        <v>0</v>
      </c>
      <c r="X6" s="22">
        <f t="shared" si="16"/>
        <v>0.66666666666666663</v>
      </c>
      <c r="Y6" s="18">
        <f t="shared" si="17"/>
        <v>300000000</v>
      </c>
      <c r="Z6" s="18">
        <f t="shared" si="18"/>
        <v>75000</v>
      </c>
      <c r="AA6" s="1" t="s">
        <v>124</v>
      </c>
      <c r="AB6" t="s">
        <v>10</v>
      </c>
      <c r="AC6" s="5">
        <v>0.3</v>
      </c>
      <c r="AD6" s="6">
        <f>Y6*AC6</f>
        <v>90000000</v>
      </c>
      <c r="AE6" s="6">
        <f t="shared" si="0"/>
        <v>22500</v>
      </c>
      <c r="AF6" s="5">
        <v>0.12</v>
      </c>
      <c r="AG6" s="6">
        <f t="shared" si="19"/>
        <v>2700</v>
      </c>
      <c r="AH6" s="71">
        <v>0.05</v>
      </c>
      <c r="AI6" s="6">
        <f t="shared" si="20"/>
        <v>135</v>
      </c>
      <c r="AJ6" s="71">
        <v>0.03</v>
      </c>
      <c r="AK6" s="6">
        <f t="shared" si="21"/>
        <v>81</v>
      </c>
      <c r="AL6" s="6">
        <f t="shared" si="22"/>
        <v>2754</v>
      </c>
      <c r="AM6" s="6">
        <f t="shared" si="23"/>
        <v>19746</v>
      </c>
      <c r="AN6" s="6">
        <v>25000</v>
      </c>
      <c r="AO6" s="16">
        <f t="shared" si="24"/>
        <v>115872.5</v>
      </c>
      <c r="AP6" s="1"/>
      <c r="AQ6" s="16">
        <f t="shared" si="1"/>
        <v>19746</v>
      </c>
    </row>
    <row r="7" spans="1:43">
      <c r="A7" s="17">
        <v>2024</v>
      </c>
      <c r="B7" s="17" t="s">
        <v>15</v>
      </c>
      <c r="C7" s="18">
        <v>450000000</v>
      </c>
      <c r="D7" s="19">
        <v>2.5000000000000001E-4</v>
      </c>
      <c r="E7" s="20">
        <f t="shared" si="2"/>
        <v>112500</v>
      </c>
      <c r="F7" s="20">
        <f t="shared" si="3"/>
        <v>14062.5</v>
      </c>
      <c r="G7" s="20">
        <f t="shared" si="4"/>
        <v>14287.5</v>
      </c>
      <c r="H7" s="20">
        <f t="shared" si="5"/>
        <v>22.5</v>
      </c>
      <c r="I7" s="20"/>
      <c r="J7" s="20">
        <f t="shared" si="6"/>
        <v>140872.5</v>
      </c>
      <c r="K7" s="21">
        <v>0.2</v>
      </c>
      <c r="L7" s="20">
        <f t="shared" si="7"/>
        <v>90000000</v>
      </c>
      <c r="M7" s="20">
        <f t="shared" si="8"/>
        <v>22500</v>
      </c>
      <c r="N7" s="20">
        <f>IF((C7-L7)&gt;'Fire Treaty Limit'!$E$7,'Fire Treaty Limit'!$E$7,(C7-L7))</f>
        <v>60000000</v>
      </c>
      <c r="O7" s="20">
        <f t="shared" si="9"/>
        <v>0</v>
      </c>
      <c r="P7" s="20">
        <f>N7*'Fire Treaty Limit'!C11</f>
        <v>0</v>
      </c>
      <c r="Q7" s="20">
        <f t="shared" si="10"/>
        <v>0</v>
      </c>
      <c r="R7" s="22">
        <f t="shared" si="11"/>
        <v>0.13333333333333333</v>
      </c>
      <c r="S7" s="20">
        <f t="shared" si="12"/>
        <v>60000000</v>
      </c>
      <c r="T7" s="20">
        <f t="shared" si="13"/>
        <v>15000</v>
      </c>
      <c r="U7" s="20">
        <f t="shared" si="14"/>
        <v>0</v>
      </c>
      <c r="V7" s="20">
        <f>IF(($C$4-$L$4-$N$4)&gt;'Fire Treaty Limit'!$E$10,'Fire Treaty Limit'!$E$10,($C$4-$L$4-$N$4))</f>
        <v>0</v>
      </c>
      <c r="W7" s="20">
        <f t="shared" si="15"/>
        <v>0</v>
      </c>
      <c r="X7" s="22">
        <f t="shared" si="16"/>
        <v>0.66666666666666663</v>
      </c>
      <c r="Y7" s="18">
        <f t="shared" si="17"/>
        <v>300000000</v>
      </c>
      <c r="Z7" s="18">
        <f t="shared" si="18"/>
        <v>75000</v>
      </c>
      <c r="AA7" s="1" t="s">
        <v>124</v>
      </c>
      <c r="AB7" t="s">
        <v>11</v>
      </c>
      <c r="AC7" s="5">
        <v>0.4</v>
      </c>
      <c r="AD7" s="6">
        <f>Y7*AC7</f>
        <v>120000000</v>
      </c>
      <c r="AE7" s="6">
        <f t="shared" si="0"/>
        <v>30000</v>
      </c>
      <c r="AF7" s="5">
        <v>0.12</v>
      </c>
      <c r="AG7" s="6">
        <f t="shared" si="19"/>
        <v>3600</v>
      </c>
      <c r="AH7" s="71">
        <v>0.05</v>
      </c>
      <c r="AI7" s="6">
        <f t="shared" si="20"/>
        <v>180</v>
      </c>
      <c r="AJ7" s="71">
        <v>0.03</v>
      </c>
      <c r="AK7" s="6">
        <f t="shared" si="21"/>
        <v>108</v>
      </c>
      <c r="AL7" s="6">
        <f t="shared" si="22"/>
        <v>3672</v>
      </c>
      <c r="AM7" s="6">
        <f t="shared" si="23"/>
        <v>26328</v>
      </c>
      <c r="AN7" s="6">
        <v>25000</v>
      </c>
      <c r="AO7" s="16">
        <f t="shared" si="24"/>
        <v>115872.5</v>
      </c>
      <c r="AP7" s="1"/>
      <c r="AQ7" s="16">
        <f t="shared" si="1"/>
        <v>26328</v>
      </c>
    </row>
    <row r="8" spans="1:43">
      <c r="A8" s="17">
        <v>2024</v>
      </c>
      <c r="B8" s="17" t="s">
        <v>15</v>
      </c>
      <c r="C8" s="18">
        <v>450000000</v>
      </c>
      <c r="D8" s="19">
        <v>2.5000000000000001E-4</v>
      </c>
      <c r="E8" s="20">
        <f t="shared" ref="E8:E9" si="25">C8*D8</f>
        <v>112500</v>
      </c>
      <c r="F8" s="20">
        <f t="shared" si="3"/>
        <v>14062.5</v>
      </c>
      <c r="G8" s="20">
        <f t="shared" ref="G8:G9" si="26">(E8*12.5%)+(E8*0.2%)</f>
        <v>14287.5</v>
      </c>
      <c r="H8" s="20">
        <f t="shared" ref="H8:H9" si="27">E8*0.02%</f>
        <v>22.5</v>
      </c>
      <c r="I8" s="20"/>
      <c r="J8" s="20">
        <f t="shared" ref="J8:J9" si="28">E8+F8+G8+H8+I8</f>
        <v>140872.5</v>
      </c>
      <c r="K8" s="21">
        <v>0.2</v>
      </c>
      <c r="L8" s="20">
        <f>C8*K8</f>
        <v>90000000</v>
      </c>
      <c r="M8" s="20">
        <f t="shared" ref="M8:M9" si="29">E8*K8</f>
        <v>22500</v>
      </c>
      <c r="N8" s="20">
        <f>IF((C8-L8)&gt;'Fire Treaty Limit'!$E$7,'Fire Treaty Limit'!$E$7,(C8-L8))</f>
        <v>60000000</v>
      </c>
      <c r="O8" s="20">
        <f t="shared" ref="O8:O9" si="30">P8/C8</f>
        <v>0</v>
      </c>
      <c r="P8" s="20">
        <f>N8*'Fire Treaty Limit'!C12</f>
        <v>0</v>
      </c>
      <c r="Q8" s="20">
        <f t="shared" ref="Q8:Q9" si="31">E8*O8</f>
        <v>0</v>
      </c>
      <c r="R8" s="22">
        <f t="shared" ref="R8:R9" si="32">S8/C8</f>
        <v>0.13333333333333333</v>
      </c>
      <c r="S8" s="20">
        <f t="shared" ref="S8:S9" si="33">N8-P8</f>
        <v>60000000</v>
      </c>
      <c r="T8" s="20">
        <f t="shared" si="13"/>
        <v>15000</v>
      </c>
      <c r="U8" s="20">
        <f t="shared" ref="U8:U9" si="34">V8/C8</f>
        <v>0</v>
      </c>
      <c r="V8" s="20">
        <f>IF(($C$4-$L$4-$N$4)&gt;'Fire Treaty Limit'!$E$10,'Fire Treaty Limit'!$E$10,($C$4-$L$4-$N$4))</f>
        <v>0</v>
      </c>
      <c r="W8" s="20">
        <f t="shared" ref="W8:W9" si="35">E8*U8</f>
        <v>0</v>
      </c>
      <c r="X8" s="22">
        <v>0</v>
      </c>
      <c r="Y8" s="18">
        <v>0</v>
      </c>
      <c r="Z8" s="18">
        <v>0</v>
      </c>
      <c r="AA8" s="1" t="s">
        <v>123</v>
      </c>
      <c r="AB8" s="1" t="s">
        <v>130</v>
      </c>
      <c r="AC8" s="5">
        <v>0.05</v>
      </c>
      <c r="AD8" s="6">
        <f>AC8*(L8/K8)</f>
        <v>22500000</v>
      </c>
      <c r="AE8" s="6">
        <f>M8*(AC8/K8)</f>
        <v>5625</v>
      </c>
      <c r="AF8" s="5">
        <v>0.12</v>
      </c>
      <c r="AG8" s="6">
        <f>AE8*AF8</f>
        <v>675</v>
      </c>
      <c r="AH8" s="71">
        <v>0.05</v>
      </c>
      <c r="AI8" s="6">
        <f t="shared" si="20"/>
        <v>281.25</v>
      </c>
      <c r="AJ8" s="71">
        <v>0.03</v>
      </c>
      <c r="AK8" s="6">
        <f t="shared" si="21"/>
        <v>168.75</v>
      </c>
      <c r="AL8" s="6">
        <f t="shared" ref="AL8:AL9" si="36">AG8+AI8-AK8</f>
        <v>787.5</v>
      </c>
      <c r="AM8" s="6">
        <f t="shared" ref="AM8" si="37">AE8-(AG8+AI8-AK8)</f>
        <v>4837.5</v>
      </c>
      <c r="AN8" s="6">
        <v>25000</v>
      </c>
      <c r="AO8" s="16">
        <f t="shared" si="24"/>
        <v>115872.5</v>
      </c>
      <c r="AP8" s="1"/>
      <c r="AQ8" s="16">
        <f t="shared" si="1"/>
        <v>4837.5</v>
      </c>
    </row>
    <row r="9" spans="1:43">
      <c r="A9" s="17">
        <v>2024</v>
      </c>
      <c r="B9" s="17" t="s">
        <v>15</v>
      </c>
      <c r="C9" s="18">
        <v>450000000</v>
      </c>
      <c r="D9" s="19">
        <v>2.5000000000000001E-4</v>
      </c>
      <c r="E9" s="20">
        <f t="shared" si="25"/>
        <v>112500</v>
      </c>
      <c r="F9" s="20">
        <f t="shared" si="3"/>
        <v>14062.5</v>
      </c>
      <c r="G9" s="20">
        <f t="shared" si="26"/>
        <v>14287.5</v>
      </c>
      <c r="H9" s="20">
        <f t="shared" si="27"/>
        <v>22.5</v>
      </c>
      <c r="I9" s="20"/>
      <c r="J9" s="20">
        <f t="shared" si="28"/>
        <v>140872.5</v>
      </c>
      <c r="K9" s="21">
        <v>0.2</v>
      </c>
      <c r="L9" s="20">
        <f t="shared" ref="L9" si="38">C9*K9</f>
        <v>90000000</v>
      </c>
      <c r="M9" s="20">
        <f t="shared" si="29"/>
        <v>22500</v>
      </c>
      <c r="N9" s="20">
        <f>IF((C9-L9)&gt;'Fire Treaty Limit'!$E$7,'Fire Treaty Limit'!$E$7,(C9-L9))</f>
        <v>60000000</v>
      </c>
      <c r="O9" s="20">
        <f t="shared" si="30"/>
        <v>0</v>
      </c>
      <c r="P9" s="20">
        <f>N9*'Fire Treaty Limit'!C13</f>
        <v>0</v>
      </c>
      <c r="Q9" s="20">
        <f t="shared" si="31"/>
        <v>0</v>
      </c>
      <c r="R9" s="22">
        <f t="shared" si="32"/>
        <v>0.13333333333333333</v>
      </c>
      <c r="S9" s="20">
        <f t="shared" si="33"/>
        <v>60000000</v>
      </c>
      <c r="T9" s="20">
        <f t="shared" si="13"/>
        <v>15000</v>
      </c>
      <c r="U9" s="20">
        <f t="shared" si="34"/>
        <v>0</v>
      </c>
      <c r="V9" s="20">
        <f>IF(($C$4-$L$4-$N$4)&gt;'Fire Treaty Limit'!$E$10,'Fire Treaty Limit'!$E$10,($C$4-$L$4-$N$4))</f>
        <v>0</v>
      </c>
      <c r="W9" s="20">
        <f t="shared" si="35"/>
        <v>0</v>
      </c>
      <c r="X9" s="22">
        <v>0</v>
      </c>
      <c r="Y9" s="18">
        <v>0</v>
      </c>
      <c r="Z9" s="18">
        <v>0</v>
      </c>
      <c r="AA9" s="1" t="s">
        <v>123</v>
      </c>
      <c r="AB9" s="1" t="s">
        <v>11</v>
      </c>
      <c r="AC9" s="5">
        <v>0.15</v>
      </c>
      <c r="AD9" s="6">
        <f>AC9*(L9/K9)</f>
        <v>67500000</v>
      </c>
      <c r="AE9" s="6">
        <f>M9*(AC9/K9)</f>
        <v>16874.999999999996</v>
      </c>
      <c r="AF9" s="5">
        <v>0.12</v>
      </c>
      <c r="AG9" s="6">
        <f t="shared" ref="AG9" si="39">AE9*AF9</f>
        <v>2024.9999999999995</v>
      </c>
      <c r="AH9" s="71">
        <v>0.05</v>
      </c>
      <c r="AI9" s="6">
        <f t="shared" si="20"/>
        <v>843.74999999999989</v>
      </c>
      <c r="AJ9" s="71">
        <v>0.03</v>
      </c>
      <c r="AK9" s="6">
        <f t="shared" si="21"/>
        <v>506.24999999999989</v>
      </c>
      <c r="AL9" s="6">
        <f t="shared" si="36"/>
        <v>2362.4999999999995</v>
      </c>
      <c r="AM9" s="6">
        <f>AE9-(AG9+AI9-AK9)</f>
        <v>14512.499999999996</v>
      </c>
      <c r="AN9" s="6">
        <v>25000</v>
      </c>
      <c r="AO9" s="16">
        <f t="shared" si="24"/>
        <v>115872.5</v>
      </c>
      <c r="AP9" s="1"/>
      <c r="AQ9" s="16">
        <f t="shared" si="1"/>
        <v>14512.499999999996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selection activeCell="A5" sqref="A5"/>
    </sheetView>
  </sheetViews>
  <sheetFormatPr defaultRowHeight="15"/>
  <cols>
    <col min="1" max="1" width="18.85546875" bestFit="1" customWidth="1"/>
    <col min="2" max="2" width="18.85546875" customWidth="1"/>
    <col min="3" max="3" width="11.28515625" bestFit="1" customWidth="1"/>
    <col min="4" max="4" width="12.28515625" bestFit="1" customWidth="1"/>
    <col min="5" max="5" width="16.42578125" bestFit="1" customWidth="1"/>
    <col min="6" max="6" width="13.7109375" bestFit="1" customWidth="1"/>
    <col min="7" max="7" width="15" bestFit="1" customWidth="1"/>
    <col min="8" max="8" width="18.85546875" bestFit="1" customWidth="1"/>
  </cols>
  <sheetData>
    <row r="2" spans="1:8">
      <c r="A2" s="31" t="s">
        <v>0</v>
      </c>
      <c r="B2" s="64" t="s">
        <v>127</v>
      </c>
      <c r="C2" s="31" t="s">
        <v>53</v>
      </c>
      <c r="D2" s="31" t="s">
        <v>56</v>
      </c>
      <c r="E2" s="31" t="s">
        <v>57</v>
      </c>
      <c r="F2" s="31" t="s">
        <v>58</v>
      </c>
      <c r="G2" s="9" t="s">
        <v>67</v>
      </c>
      <c r="H2" s="9" t="s">
        <v>68</v>
      </c>
    </row>
    <row r="3" spans="1:8">
      <c r="A3" s="17" t="s">
        <v>15</v>
      </c>
      <c r="B3" s="17" t="s">
        <v>128</v>
      </c>
      <c r="C3" s="1">
        <v>1000001</v>
      </c>
      <c r="D3" s="78">
        <v>45310</v>
      </c>
      <c r="E3" s="1">
        <v>7000</v>
      </c>
      <c r="F3" s="1" t="s">
        <v>125</v>
      </c>
      <c r="G3" s="1" t="s">
        <v>126</v>
      </c>
      <c r="H3" s="1">
        <v>100000</v>
      </c>
    </row>
    <row r="4" spans="1:8">
      <c r="A4" s="17" t="s">
        <v>15</v>
      </c>
      <c r="B4" s="17" t="s">
        <v>129</v>
      </c>
      <c r="C4" s="1">
        <v>1000002</v>
      </c>
      <c r="D4" s="78">
        <v>45316</v>
      </c>
      <c r="E4" s="1">
        <v>3000</v>
      </c>
      <c r="F4" s="1"/>
      <c r="G4" s="1" t="s">
        <v>126</v>
      </c>
      <c r="H4" s="1">
        <v>100001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3" sqref="E3"/>
    </sheetView>
  </sheetViews>
  <sheetFormatPr defaultRowHeight="15"/>
  <cols>
    <col min="1" max="1" width="19.140625" bestFit="1" customWidth="1"/>
    <col min="4" max="4" width="19" bestFit="1" customWidth="1"/>
    <col min="6" max="6" width="10.85546875" bestFit="1" customWidth="1"/>
  </cols>
  <sheetData>
    <row r="1" spans="1:6">
      <c r="A1" s="63" t="s">
        <v>13</v>
      </c>
      <c r="D1" s="63" t="s">
        <v>87</v>
      </c>
      <c r="F1" s="63" t="s">
        <v>74</v>
      </c>
    </row>
    <row r="2" spans="1:6">
      <c r="A2" t="s">
        <v>123</v>
      </c>
      <c r="D2" t="s">
        <v>85</v>
      </c>
      <c r="F2" t="s">
        <v>88</v>
      </c>
    </row>
    <row r="3" spans="1:6">
      <c r="A3" t="s">
        <v>122</v>
      </c>
      <c r="D3" t="s">
        <v>132</v>
      </c>
      <c r="F3" t="s">
        <v>89</v>
      </c>
    </row>
    <row r="4" spans="1:6">
      <c r="D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18"/>
  <sheetViews>
    <sheetView workbookViewId="0">
      <selection activeCell="E16" sqref="E16"/>
    </sheetView>
  </sheetViews>
  <sheetFormatPr defaultRowHeight="15"/>
  <cols>
    <col min="2" max="2" width="17" bestFit="1" customWidth="1"/>
    <col min="3" max="3" width="3.5703125" bestFit="1" customWidth="1"/>
    <col min="4" max="4" width="9.5703125" bestFit="1" customWidth="1"/>
    <col min="5" max="5" width="13.140625" bestFit="1" customWidth="1"/>
    <col min="6" max="6" width="14" bestFit="1" customWidth="1"/>
    <col min="7" max="7" width="9.7109375" bestFit="1" customWidth="1"/>
    <col min="8" max="8" width="10" bestFit="1" customWidth="1"/>
    <col min="9" max="9" width="9.7109375" bestFit="1" customWidth="1"/>
    <col min="10" max="10" width="13.140625" bestFit="1" customWidth="1"/>
    <col min="11" max="11" width="9.7109375" bestFit="1" customWidth="1"/>
    <col min="12" max="12" width="10" bestFit="1" customWidth="1"/>
  </cols>
  <sheetData>
    <row r="5" spans="2:14">
      <c r="B5" s="87" t="s">
        <v>31</v>
      </c>
      <c r="C5" s="88"/>
      <c r="D5" s="88"/>
      <c r="E5" s="89"/>
    </row>
    <row r="6" spans="2:14">
      <c r="B6" s="1"/>
      <c r="C6" s="1" t="s">
        <v>24</v>
      </c>
      <c r="D6" s="1" t="s">
        <v>25</v>
      </c>
      <c r="E6" s="1" t="s">
        <v>26</v>
      </c>
    </row>
    <row r="7" spans="2:14">
      <c r="B7" s="1" t="s">
        <v>27</v>
      </c>
      <c r="C7" s="1"/>
      <c r="D7" s="1"/>
      <c r="E7" s="10">
        <v>60000000</v>
      </c>
    </row>
    <row r="8" spans="2:14">
      <c r="B8" s="1" t="s">
        <v>28</v>
      </c>
      <c r="C8" s="5">
        <v>0</v>
      </c>
      <c r="D8" s="1">
        <v>0</v>
      </c>
      <c r="E8" s="1"/>
    </row>
    <row r="9" spans="2:14">
      <c r="B9" s="1" t="s">
        <v>29</v>
      </c>
      <c r="C9" s="1"/>
      <c r="D9" s="1"/>
      <c r="E9" s="10">
        <v>20000000</v>
      </c>
    </row>
    <row r="10" spans="2:14">
      <c r="B10" s="1" t="s">
        <v>30</v>
      </c>
      <c r="C10" s="1"/>
      <c r="D10" s="11">
        <v>0</v>
      </c>
      <c r="E10" s="10">
        <v>0</v>
      </c>
    </row>
    <row r="13" spans="2:14">
      <c r="B13" s="1"/>
      <c r="C13" s="1"/>
      <c r="D13" s="86" t="s">
        <v>27</v>
      </c>
      <c r="E13" s="86"/>
      <c r="F13" s="86" t="s">
        <v>28</v>
      </c>
      <c r="G13" s="86"/>
      <c r="H13" s="86"/>
      <c r="I13" s="86" t="s">
        <v>29</v>
      </c>
      <c r="J13" s="86"/>
      <c r="K13" s="86" t="s">
        <v>30</v>
      </c>
      <c r="L13" s="86"/>
      <c r="M13" s="86" t="s">
        <v>69</v>
      </c>
      <c r="N13" s="86"/>
    </row>
    <row r="14" spans="2:14">
      <c r="B14" s="2" t="s">
        <v>38</v>
      </c>
      <c r="C14" s="2"/>
      <c r="D14" s="8" t="s">
        <v>25</v>
      </c>
      <c r="E14" s="8" t="s">
        <v>26</v>
      </c>
      <c r="F14" s="8" t="s">
        <v>33</v>
      </c>
      <c r="G14" s="8" t="s">
        <v>25</v>
      </c>
      <c r="H14" s="8" t="s">
        <v>26</v>
      </c>
      <c r="I14" s="8" t="s">
        <v>25</v>
      </c>
      <c r="J14" s="8" t="s">
        <v>26</v>
      </c>
      <c r="K14" s="55" t="s">
        <v>25</v>
      </c>
      <c r="L14" s="55" t="s">
        <v>26</v>
      </c>
      <c r="M14" s="55" t="s">
        <v>25</v>
      </c>
      <c r="N14" s="55" t="s">
        <v>26</v>
      </c>
    </row>
    <row r="15" spans="2:14">
      <c r="B15" s="1">
        <v>2024</v>
      </c>
      <c r="C15" s="1"/>
      <c r="D15" s="1"/>
      <c r="E15" s="10">
        <v>60000000</v>
      </c>
      <c r="F15" s="1"/>
      <c r="G15" s="1"/>
      <c r="H15" s="1"/>
      <c r="I15" s="1"/>
      <c r="J15" s="10">
        <v>20000000</v>
      </c>
      <c r="K15" s="1">
        <v>0</v>
      </c>
      <c r="L15" s="1">
        <v>0</v>
      </c>
      <c r="M15" s="1"/>
      <c r="N15" s="1"/>
    </row>
    <row r="16" spans="2:14">
      <c r="B16" s="1">
        <v>2023</v>
      </c>
      <c r="C16" s="1"/>
      <c r="D16" s="1"/>
      <c r="E16" s="1"/>
      <c r="F16" s="5">
        <v>0.25</v>
      </c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6">
    <mergeCell ref="M13:N13"/>
    <mergeCell ref="B5:E5"/>
    <mergeCell ref="D13:E13"/>
    <mergeCell ref="F13:H13"/>
    <mergeCell ref="I13:J13"/>
    <mergeCell ref="K13:L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RI Payment Search Screen</vt:lpstr>
      <vt:lpstr>View Screen</vt:lpstr>
      <vt:lpstr>Policy Data</vt:lpstr>
      <vt:lpstr>Receipt Detail</vt:lpstr>
      <vt:lpstr>List</vt:lpstr>
      <vt:lpstr>Fire Treaty Limit</vt:lpstr>
      <vt:lpstr>Co_Insurance</vt:lpstr>
      <vt:lpstr>Facultative_Outward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2024-12-06T05:51:00Z</dcterms:created>
  <dcterms:modified xsi:type="dcterms:W3CDTF">2025-06-02T09:15:50Z</dcterms:modified>
</cp:coreProperties>
</file>