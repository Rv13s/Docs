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ZIVA\Kanban\July\NOVAPHILCM-912 SOA Report for Inward Facultative\"/>
    </mc:Choice>
  </mc:AlternateContent>
  <bookViews>
    <workbookView xWindow="0" yWindow="0" windowWidth="20490" windowHeight="7020"/>
  </bookViews>
  <sheets>
    <sheet name="Defect Tracker" sheetId="2" r:id="rId1"/>
    <sheet name="Defect Status" sheetId="5" r:id="rId2"/>
    <sheet name="Guidelines" sheetId="3" r:id="rId3"/>
  </sheets>
  <definedNames>
    <definedName name="_xlnm._FilterDatabase" localSheetId="0" hidden="1">'Defect Tracker'!$A$6:$T$19</definedName>
    <definedName name="Accept">Guidelines!$IS$37:$IS$37</definedName>
    <definedName name="Code" hidden="1">#REF!</definedName>
    <definedName name="data1" hidden="1">#REF!</definedName>
    <definedName name="data2" hidden="1">#REF!</definedName>
    <definedName name="data3" hidden="1">#REF!</definedName>
    <definedName name="DefectFrom">Guidelines!$IN$37:$IN$38</definedName>
    <definedName name="DefectID">'Defect Tracker'!#REF!</definedName>
    <definedName name="DefectType">Guidelines!$IP$37:$IP$38</definedName>
    <definedName name="Discount" hidden="1">#REF!</definedName>
    <definedName name="display_area_2" hidden="1">#REF!</definedName>
    <definedName name="FCode" hidden="1">#REF!</definedName>
    <definedName name="HiddenRows" hidden="1">#REF!</definedName>
    <definedName name="Module">Guidelines!$IO$37:$IO$38</definedName>
    <definedName name="OrderTable" hidden="1">#REF!</definedName>
    <definedName name="_xlnm.Print_Area" localSheetId="0">'Defect Tracker'!$A$4:$T$19</definedName>
    <definedName name="_xlnm.Print_Area" localSheetId="2">Guidelines!$A$1:$B$39</definedName>
    <definedName name="Priority">Guidelines!$IT$37:$IT$38</definedName>
    <definedName name="ProdForm" hidden="1">#REF!</definedName>
    <definedName name="Product" hidden="1">#REF!</definedName>
    <definedName name="RCArea" hidden="1">#REF!</definedName>
    <definedName name="severity">Guidelines!$IQ$37:$IQ$38</definedName>
    <definedName name="SpecialPrice" hidden="1">#REF!</definedName>
    <definedName name="Stat">Guidelines!$IR$37:$IR$38</definedName>
    <definedName name="Status">Guidelines!$IR$37:$IR$38</definedName>
    <definedName name="tbl_ProdInfo" hidden="1">#REF!</definedName>
  </definedNames>
  <calcPr calcId="162913"/>
</workbook>
</file>

<file path=xl/calcChain.xml><?xml version="1.0" encoding="utf-8"?>
<calcChain xmlns="http://schemas.openxmlformats.org/spreadsheetml/2006/main">
  <c r="D6" i="5" l="1"/>
  <c r="D15" i="5"/>
  <c r="D14" i="5"/>
  <c r="D13" i="5"/>
  <c r="D12" i="5"/>
  <c r="D11" i="5"/>
  <c r="D10" i="5"/>
  <c r="D9" i="5"/>
  <c r="D8" i="5"/>
  <c r="D7" i="5"/>
  <c r="G8" i="5" l="1"/>
  <c r="G6" i="5"/>
  <c r="G7" i="5"/>
  <c r="G9" i="5"/>
  <c r="G5" i="5"/>
  <c r="G10" i="5" l="1"/>
</calcChain>
</file>

<file path=xl/comments1.xml><?xml version="1.0" encoding="utf-8"?>
<comments xmlns="http://schemas.openxmlformats.org/spreadsheetml/2006/main">
  <authors>
    <author>baskar s</author>
    <author>Hariganesh</author>
    <author>Sathish Mohan</author>
  </authors>
  <commentList>
    <comment ref="A6" authorId="0" shapeId="0">
      <text>
        <r>
          <rPr>
            <b/>
            <sz val="9"/>
            <color indexed="81"/>
            <rFont val="Tahoma"/>
            <family val="2"/>
          </rPr>
          <t>SEPG:</t>
        </r>
        <r>
          <rPr>
            <sz val="9"/>
            <color indexed="81"/>
            <rFont val="Tahoma"/>
            <family val="2"/>
          </rPr>
          <t xml:space="preserve">
Defect Id format: First two characters of project name(ER) +Defect no.(D001)
e.g ERD001 , ERD002, ERD003…ERD034 etc..
</t>
        </r>
      </text>
    </comment>
    <comment ref="B6" authorId="1" shapeId="0">
      <text>
        <r>
          <rPr>
            <b/>
            <sz val="9"/>
            <color indexed="81"/>
            <rFont val="Tahoma"/>
            <family val="2"/>
          </rPr>
          <t xml:space="preserve">SEPG:
</t>
        </r>
        <r>
          <rPr>
            <sz val="9"/>
            <color indexed="81"/>
            <rFont val="Tahoma"/>
            <family val="2"/>
          </rPr>
          <t>Select the Defect Type from the Drop Down List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6" authorId="2" shapeId="0">
      <text>
        <r>
          <rPr>
            <b/>
            <sz val="9"/>
            <color indexed="81"/>
            <rFont val="Tahoma"/>
            <family val="2"/>
          </rPr>
          <t>SEPG:</t>
        </r>
        <r>
          <rPr>
            <sz val="9"/>
            <color indexed="81"/>
            <rFont val="Tahoma"/>
            <family val="2"/>
          </rPr>
          <t xml:space="preserve">
Fill NA if the Defect type is Unit Testing
</t>
        </r>
      </text>
    </comment>
    <comment ref="F6" authorId="2" shapeId="0">
      <text>
        <r>
          <rPr>
            <b/>
            <sz val="9"/>
            <color indexed="81"/>
            <rFont val="Tahoma"/>
            <family val="2"/>
          </rPr>
          <t>SEPG:</t>
        </r>
        <r>
          <rPr>
            <sz val="9"/>
            <color indexed="81"/>
            <rFont val="Tahoma"/>
            <family val="2"/>
          </rPr>
          <t xml:space="preserve">
Fill NA if the Defect type is Unit Testing</t>
        </r>
      </text>
    </comment>
  </commentList>
</comments>
</file>

<file path=xl/sharedStrings.xml><?xml version="1.0" encoding="utf-8"?>
<sst xmlns="http://schemas.openxmlformats.org/spreadsheetml/2006/main" count="248" uniqueCount="127">
  <si>
    <t>Defect 
ID</t>
  </si>
  <si>
    <t>Defect Logged 
Date</t>
  </si>
  <si>
    <t xml:space="preserve">Module </t>
  </si>
  <si>
    <t>Feature / Screen</t>
  </si>
  <si>
    <t xml:space="preserve">Defect Description </t>
  </si>
  <si>
    <t>Screen Shots Attached</t>
  </si>
  <si>
    <t>Defect Type</t>
  </si>
  <si>
    <t>Status</t>
  </si>
  <si>
    <t>Fixed by</t>
  </si>
  <si>
    <t>Fixed Date</t>
  </si>
  <si>
    <t>Guidelines for using this Document</t>
  </si>
  <si>
    <t>Defect Report</t>
  </si>
  <si>
    <t>Defect  ID</t>
  </si>
  <si>
    <t>Date in dd-mmm-yyyy format in which the defect was logged in the tracker.  In ideal scenario this date should be same as the date in which the defect was identified.</t>
  </si>
  <si>
    <t>Module</t>
  </si>
  <si>
    <t>Defect Description</t>
  </si>
  <si>
    <t>Describe in brief about the identified defect.  If possible we can also mention the way in which the "Defect" can be identified.</t>
  </si>
  <si>
    <t>Defect Severity</t>
  </si>
  <si>
    <t>Mention the name of the person who identified the Defect.  This should typically be the same person who logs the defect</t>
  </si>
  <si>
    <t>Open</t>
  </si>
  <si>
    <t>Defect Closed Date</t>
  </si>
  <si>
    <t>Date in dd/mm/yyyy format in which the defect was finally closed (verified by the Testing Team)</t>
  </si>
  <si>
    <t>Fixed</t>
  </si>
  <si>
    <t>Closed</t>
  </si>
  <si>
    <t>Raised By</t>
  </si>
  <si>
    <t>Requirement ID</t>
  </si>
  <si>
    <t>Requirement ID: Unique ID number which is maintained by the BCG /Client while preparing the Change Request document or Issues respectively.</t>
  </si>
  <si>
    <t>Module Name of the project                                                                                                          For Ex:- System Administration,Investments,Leding,General Accounting etc.</t>
  </si>
  <si>
    <t>Defect 
Closed Date</t>
  </si>
  <si>
    <t>Mention the "Screen Path" in which the "Defect" exists in. This should be the URL of the page where the defect could be identified
Example: Lending&gt;&gt;General&gt;&gt;Masters&gt;&gt;Customer Information&gt;&gt;Martial Status               Mention the name of the Screen in which the Defect is identified
Example: Marital Status</t>
  </si>
  <si>
    <t>Module/Feature  inoperable</t>
  </si>
  <si>
    <t>Mention the Defect "Severity" here.  There are 3 severity types</t>
  </si>
  <si>
    <t>Severity (Critical) Criteria</t>
  </si>
  <si>
    <t>Severity (Major) Criteria</t>
  </si>
  <si>
    <t>Severity (Minor) Criteria</t>
  </si>
  <si>
    <t>Defect Classification</t>
  </si>
  <si>
    <t>Categorize the Defect in any one of the following category.  This activity needs to be populated by the Testing Team
Functional:  Any defect that  does not meet the requirement
Non-Functional: Any defect that does not meet the system aspects
Development Issues: Any defects that does not meet technical aspects
Data:  Defects related to "Data".  This may be improper data, wrong calculation or wrong fetching etc.
Infrastructure:  The defect due to environmental changes</t>
  </si>
  <si>
    <t>Defect Status Summary Report</t>
  </si>
  <si>
    <t>Defect ID</t>
  </si>
  <si>
    <t>Total</t>
  </si>
  <si>
    <t>Deferred</t>
  </si>
  <si>
    <t>SI. No</t>
  </si>
  <si>
    <t>Re-Open</t>
  </si>
  <si>
    <t>Defect type</t>
  </si>
  <si>
    <t>Unit testing or SI testing</t>
  </si>
  <si>
    <t xml:space="preserve">                                                                                                                                 DEFECT TRACKER</t>
  </si>
  <si>
    <t>Sub classification</t>
  </si>
  <si>
    <t>Name of the person who has  fixed the defect</t>
  </si>
  <si>
    <t xml:space="preserve">This column can be used to add any free text with respect to a defect. </t>
  </si>
  <si>
    <t>Remarks</t>
  </si>
  <si>
    <t>Functional</t>
  </si>
  <si>
    <t>Business Logic</t>
  </si>
  <si>
    <t>Requirements</t>
  </si>
  <si>
    <t>Defect Tracker</t>
  </si>
  <si>
    <t>Select the sub classification of the defect based on the defect type and defect classification
1 Non Functional
a) Security
b) Performance (Load Testing &amp; Stress Testing)
c) UI Issue (includes Usability, Cosmetic, Screen Alignment and Compatibility)
d) Time Issue
2 Development Issues
a) Syntax Error
b) Spelling Mistake (Typo) 
c) Unhandled Error (includes No Exception Handling)
3 Functional 
a) Business Logic
b) Business Flow
c) Missing Validation (Data validation)
d) Computational
e) Requirements (Missing and Incorrect)
4 Data
a) Data Integrity
5 Infrastructure
a) Environmental</t>
  </si>
  <si>
    <r>
      <t xml:space="preserve">Status of the Defect has to be updated here from the list of values provided.
</t>
    </r>
    <r>
      <rPr>
        <sz val="10"/>
        <color indexed="10"/>
        <rFont val="Bookman Old Style"/>
        <family val="1"/>
      </rPr>
      <t xml:space="preserve">Open: </t>
    </r>
    <r>
      <rPr>
        <sz val="10"/>
        <rFont val="Bookman Old Style"/>
        <family val="1"/>
      </rPr>
      <t xml:space="preserve">When the defect has been logged in the tracker for the first time
</t>
    </r>
    <r>
      <rPr>
        <sz val="10"/>
        <color indexed="10"/>
        <rFont val="Bookman Old Style"/>
        <family val="1"/>
      </rPr>
      <t>Fixed:</t>
    </r>
    <r>
      <rPr>
        <sz val="10"/>
        <rFont val="Bookman Old Style"/>
        <family val="1"/>
      </rPr>
      <t xml:space="preserve"> When the defect has been addressed by the developer
</t>
    </r>
    <r>
      <rPr>
        <sz val="10"/>
        <color indexed="10"/>
        <rFont val="Bookman Old Style"/>
        <family val="1"/>
      </rPr>
      <t>Reopen</t>
    </r>
    <r>
      <rPr>
        <sz val="10"/>
        <rFont val="Bookman Old Style"/>
        <family val="1"/>
      </rPr>
      <t xml:space="preserve">, Reopen 1`, Reopen 2, Reopen 3:  If any fixed or closed defect are resurfacing (due to changes in some other requirement), then status will be updated until the defect is fixed and closed completely
</t>
    </r>
    <r>
      <rPr>
        <sz val="10"/>
        <color indexed="10"/>
        <rFont val="Bookman Old Style"/>
        <family val="1"/>
      </rPr>
      <t>Deferred</t>
    </r>
    <r>
      <rPr>
        <sz val="10"/>
        <rFont val="Bookman Old Style"/>
        <family val="1"/>
      </rPr>
      <t xml:space="preserve">: When the defect identified by the Tester, but the Client does not want it to be addressed in this release or want to defer the fix to a later time                                                                                                                   </t>
    </r>
    <r>
      <rPr>
        <sz val="10"/>
        <color indexed="10"/>
        <rFont val="Bookman Old Style"/>
        <family val="1"/>
      </rPr>
      <t>Closed</t>
    </r>
    <r>
      <rPr>
        <sz val="10"/>
        <rFont val="Bookman Old Style"/>
        <family val="1"/>
      </rPr>
      <t>: When the defect has been verified for the fix and the fix is fine</t>
    </r>
  </si>
  <si>
    <t>Defect from</t>
  </si>
  <si>
    <t>Application</t>
  </si>
  <si>
    <t>Business Flow</t>
  </si>
  <si>
    <t>Functions not as per Requirement</t>
  </si>
  <si>
    <t>Validation Missing</t>
  </si>
  <si>
    <t>System Inoperable</t>
  </si>
  <si>
    <t>System Hanging</t>
  </si>
  <si>
    <t>Cmd Button not working</t>
  </si>
  <si>
    <t>Load Performance</t>
  </si>
  <si>
    <t>Data Truncation or Getting corrupted</t>
  </si>
  <si>
    <t>Component not working properly</t>
  </si>
  <si>
    <t>Functionality Not implemented properly</t>
  </si>
  <si>
    <t xml:space="preserve">UI Disturbance </t>
  </si>
  <si>
    <t>Required feature is not handled in SRS</t>
  </si>
  <si>
    <t>Module/Feature Not Working as required</t>
  </si>
  <si>
    <t>Will not affect Daily Business</t>
  </si>
  <si>
    <t>Not a show stopper</t>
  </si>
  <si>
    <t>There will be a reasonable workaround</t>
  </si>
  <si>
    <t>Cosmetic Issue</t>
  </si>
  <si>
    <t>Cosmetic defects with user interface</t>
  </si>
  <si>
    <t>SIT</t>
  </si>
  <si>
    <t>Package No. / Build Reference</t>
  </si>
  <si>
    <t>Package/ Build Release Date</t>
  </si>
  <si>
    <t>Package / Build Release Date</t>
  </si>
  <si>
    <t>Unique ID number which is maintained by the development team while releasing the 
Package/Build to testing team.
Fill NA if it is a unit testing defect</t>
  </si>
  <si>
    <t>Date in dd-mmm-yyyy  format in which the Package/Build released by development team to testing 
Fill NA if it is a unit testing defect</t>
  </si>
  <si>
    <r>
      <t xml:space="preserve">The way in which the  "Defect" can be identified.                                                                                     </t>
    </r>
    <r>
      <rPr>
        <sz val="10"/>
        <color indexed="62"/>
        <rFont val="Calibri"/>
        <family val="2"/>
      </rPr>
      <t xml:space="preserve">Package/Build:  "Defects" found after executing the Package/build.                                                                                                  Application: "Defects' identified while doing the regression testing/adhoc testing on application          Unit:"Defects" identified from unit testing                                                                                             </t>
    </r>
  </si>
  <si>
    <t>Feature/Screen</t>
  </si>
  <si>
    <t>Customization ID/Name:</t>
  </si>
  <si>
    <t xml:space="preserve">Provide the Defect ID in this column.  The naming convention for a defect ID is as follows: First four characters of Customization name +Last five are incremental numbers  Ex:STFC00001
</t>
  </si>
  <si>
    <t>SGIP00001</t>
  </si>
  <si>
    <t>SGIP00002</t>
  </si>
  <si>
    <t>SGIP00003</t>
  </si>
  <si>
    <t>SGIP00004</t>
  </si>
  <si>
    <t>Mis Report</t>
  </si>
  <si>
    <t>NA</t>
  </si>
  <si>
    <t>NOVAPHILCM-1312</t>
  </si>
  <si>
    <t>Ravi</t>
  </si>
  <si>
    <t>Venkatalakshmi</t>
  </si>
  <si>
    <t>Reinsurer - invalid data, validation missing.</t>
  </si>
  <si>
    <t>Summary Details , printing empty sheet, In details sheet, Note box printing empty records</t>
  </si>
  <si>
    <t>NOVAPHILCM-1313</t>
  </si>
  <si>
    <t>Duplicate record printing in Details sheet</t>
  </si>
  <si>
    <t>NOVAPHILCM-1314</t>
  </si>
  <si>
    <t xml:space="preserve">If we select all in Reinsurer lookup , Report will be printing separate files for individual reinsurers </t>
  </si>
  <si>
    <t>NOVAPHILCM-1315</t>
  </si>
  <si>
    <t>Age column printing negative values</t>
  </si>
  <si>
    <t>NOVAPHILCM-1316</t>
  </si>
  <si>
    <t xml:space="preserve">Due amount not printing as per period date, </t>
  </si>
  <si>
    <t>SGIP00005</t>
  </si>
  <si>
    <t>SGIP00006</t>
  </si>
  <si>
    <t>SGIP00007</t>
  </si>
  <si>
    <t>SGIP00008</t>
  </si>
  <si>
    <t>SGIP00009</t>
  </si>
  <si>
    <t>SGIP00010</t>
  </si>
  <si>
    <t>SGIP00011</t>
  </si>
  <si>
    <t>SGIP00012</t>
  </si>
  <si>
    <t>NOVAPHILCM-1317</t>
  </si>
  <si>
    <t>Business type dropdown filter  not working</t>
  </si>
  <si>
    <t>NOVAPHILCM-1318</t>
  </si>
  <si>
    <t>0 Balance Policies are printing in report</t>
  </si>
  <si>
    <t>NOVAPHILCM-1368</t>
  </si>
  <si>
    <t>Sum Insurer Report not generating</t>
  </si>
  <si>
    <t>NOVAPHILCM-1369</t>
  </si>
  <si>
    <t>In summary Report amount not sum it printing separate rows.</t>
  </si>
  <si>
    <t>NOVAPHILCM-1370</t>
  </si>
  <si>
    <t>NOVAPHILCM-1543</t>
  </si>
  <si>
    <t>Report not generate based on As at date</t>
  </si>
  <si>
    <t>Some time file path does not exist error occurs, In report tray , unable to download report</t>
  </si>
  <si>
    <t>NOVAPHILCM-1544</t>
  </si>
  <si>
    <t>NOVAPHILCM-912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</si>
</sst>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;@"/>
    <numFmt numFmtId="171" formatCode="[$-C09]dd/mmm/yy;@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name val="Arial"/>
      <family val="2"/>
    </font>
    <font>
      <sz val="11"/>
      <name val="Bookman Old Style"/>
      <family val="1"/>
    </font>
    <font>
      <sz val="10"/>
      <name val="Bookman Old Style"/>
      <family val="1"/>
    </font>
    <font>
      <b/>
      <sz val="10"/>
      <name val="Bookman Old Style"/>
      <family val="1"/>
    </font>
    <font>
      <b/>
      <sz val="10"/>
      <color indexed="56"/>
      <name val="Bookman Old Style"/>
      <family val="1"/>
    </font>
    <font>
      <sz val="10"/>
      <color indexed="10"/>
      <name val="Bookman Old Style"/>
      <family val="1"/>
    </font>
    <font>
      <sz val="10"/>
      <color indexed="62"/>
      <name val="Calibri"/>
      <family val="2"/>
    </font>
    <font>
      <b/>
      <sz val="15"/>
      <color theme="3"/>
      <name val="Calibri"/>
      <family val="2"/>
      <scheme val="minor"/>
    </font>
    <font>
      <sz val="10"/>
      <color theme="1"/>
      <name val="Bookman Old Style"/>
      <family val="1"/>
    </font>
    <font>
      <b/>
      <sz val="10"/>
      <color theme="1"/>
      <name val="Bookman Old Style"/>
      <family val="1"/>
    </font>
    <font>
      <b/>
      <sz val="10"/>
      <color theme="0"/>
      <name val="Bookman Old Style"/>
      <family val="1"/>
    </font>
    <font>
      <sz val="10"/>
      <color theme="1"/>
      <name val="Calibri"/>
      <family val="2"/>
      <scheme val="minor"/>
    </font>
    <font>
      <b/>
      <sz val="11"/>
      <color theme="0"/>
      <name val="Bookman Old Style"/>
      <family val="1"/>
    </font>
    <font>
      <sz val="10"/>
      <color theme="0" tint="-0.249977111117893"/>
      <name val="Bookman Old Style"/>
      <family val="1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472C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0" tint="-0.14999847407452621"/>
      </bottom>
      <diagonal/>
    </border>
  </borders>
  <cellStyleXfs count="5">
    <xf numFmtId="0" fontId="0" fillId="0" borderId="0"/>
    <xf numFmtId="0" fontId="11" fillId="0" borderId="9" applyNumberFormat="0" applyFill="0" applyAlignment="0" applyProtection="0"/>
    <xf numFmtId="0" fontId="1" fillId="0" borderId="0"/>
    <xf numFmtId="0" fontId="4" fillId="0" borderId="0"/>
    <xf numFmtId="0" fontId="18" fillId="0" borderId="0" applyNumberFormat="0" applyFill="0" applyBorder="0" applyAlignment="0" applyProtection="0"/>
  </cellStyleXfs>
  <cellXfs count="57">
    <xf numFmtId="0" fontId="0" fillId="0" borderId="0" xfId="0"/>
    <xf numFmtId="0" fontId="5" fillId="0" borderId="0" xfId="2" applyFont="1"/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top" wrapText="1"/>
    </xf>
    <xf numFmtId="0" fontId="6" fillId="0" borderId="1" xfId="0" applyFont="1" applyFill="1" applyBorder="1" applyAlignment="1">
      <alignment horizontal="left" vertical="top" wrapText="1"/>
    </xf>
    <xf numFmtId="0" fontId="6" fillId="0" borderId="2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Fill="1" applyBorder="1" applyAlignment="1">
      <alignment horizontal="center" vertical="top" wrapText="1"/>
    </xf>
    <xf numFmtId="164" fontId="6" fillId="0" borderId="1" xfId="0" applyNumberFormat="1" applyFont="1" applyFill="1" applyBorder="1" applyAlignment="1">
      <alignment horizontal="center" vertical="top" wrapText="1"/>
    </xf>
    <xf numFmtId="0" fontId="6" fillId="0" borderId="1" xfId="0" applyFont="1" applyFill="1" applyBorder="1" applyAlignment="1">
      <alignment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164" fontId="6" fillId="3" borderId="1" xfId="0" applyNumberFormat="1" applyFont="1" applyFill="1" applyBorder="1" applyAlignment="1">
      <alignment horizontal="center" vertical="center" wrapText="1"/>
    </xf>
    <xf numFmtId="0" fontId="6" fillId="4" borderId="1" xfId="2" applyFont="1" applyFill="1" applyBorder="1"/>
    <xf numFmtId="0" fontId="12" fillId="0" borderId="1" xfId="2" applyFont="1" applyBorder="1" applyAlignment="1">
      <alignment horizontal="center"/>
    </xf>
    <xf numFmtId="0" fontId="6" fillId="5" borderId="1" xfId="2" applyFont="1" applyFill="1" applyBorder="1"/>
    <xf numFmtId="0" fontId="6" fillId="6" borderId="1" xfId="2" applyFont="1" applyFill="1" applyBorder="1"/>
    <xf numFmtId="0" fontId="6" fillId="7" borderId="1" xfId="2" applyFont="1" applyFill="1" applyBorder="1"/>
    <xf numFmtId="0" fontId="6" fillId="8" borderId="1" xfId="2" applyFont="1" applyFill="1" applyBorder="1"/>
    <xf numFmtId="0" fontId="13" fillId="2" borderId="1" xfId="2" applyFont="1" applyFill="1" applyBorder="1"/>
    <xf numFmtId="0" fontId="13" fillId="2" borderId="1" xfId="2" applyFont="1" applyFill="1" applyBorder="1" applyAlignment="1">
      <alignment horizontal="center"/>
    </xf>
    <xf numFmtId="0" fontId="6" fillId="0" borderId="0" xfId="2" applyFont="1"/>
    <xf numFmtId="0" fontId="6" fillId="9" borderId="0" xfId="2" applyFont="1" applyFill="1"/>
    <xf numFmtId="0" fontId="6" fillId="0" borderId="0" xfId="0" applyFont="1" applyBorder="1" applyAlignment="1">
      <alignment horizontal="center" wrapText="1"/>
    </xf>
    <xf numFmtId="0" fontId="6" fillId="0" borderId="0" xfId="0" applyFont="1" applyBorder="1" applyAlignment="1">
      <alignment wrapText="1"/>
    </xf>
    <xf numFmtId="0" fontId="6" fillId="0" borderId="0" xfId="0" applyFont="1" applyBorder="1" applyAlignment="1">
      <alignment horizontal="center" vertical="top" wrapText="1"/>
    </xf>
    <xf numFmtId="164" fontId="6" fillId="0" borderId="0" xfId="0" applyNumberFormat="1" applyFont="1" applyBorder="1" applyAlignment="1">
      <alignment horizontal="center" vertical="top" wrapText="1"/>
    </xf>
    <xf numFmtId="164" fontId="6" fillId="0" borderId="0" xfId="0" applyNumberFormat="1" applyFont="1" applyBorder="1" applyAlignment="1">
      <alignment wrapText="1"/>
    </xf>
    <xf numFmtId="0" fontId="12" fillId="0" borderId="0" xfId="0" applyFont="1"/>
    <xf numFmtId="0" fontId="14" fillId="10" borderId="5" xfId="1" applyFont="1" applyFill="1" applyBorder="1" applyAlignment="1">
      <alignment vertical="top" wrapText="1"/>
    </xf>
    <xf numFmtId="0" fontId="7" fillId="0" borderId="6" xfId="1" applyFont="1" applyFill="1" applyBorder="1" applyAlignment="1">
      <alignment horizontal="center" vertical="top" wrapText="1"/>
    </xf>
    <xf numFmtId="0" fontId="6" fillId="0" borderId="6" xfId="0" applyFont="1" applyFill="1" applyBorder="1" applyAlignment="1">
      <alignment wrapText="1"/>
    </xf>
    <xf numFmtId="0" fontId="6" fillId="0" borderId="6" xfId="0" applyFont="1" applyFill="1" applyBorder="1" applyAlignment="1">
      <alignment horizontal="center" vertical="top" wrapText="1"/>
    </xf>
    <xf numFmtId="164" fontId="6" fillId="0" borderId="6" xfId="0" applyNumberFormat="1" applyFont="1" applyFill="1" applyBorder="1" applyAlignment="1">
      <alignment horizontal="center" vertical="top" wrapText="1"/>
    </xf>
    <xf numFmtId="164" fontId="6" fillId="0" borderId="6" xfId="0" applyNumberFormat="1" applyFont="1" applyFill="1" applyBorder="1" applyAlignment="1">
      <alignment wrapText="1"/>
    </xf>
    <xf numFmtId="0" fontId="6" fillId="0" borderId="7" xfId="0" applyFont="1" applyFill="1" applyBorder="1" applyAlignment="1">
      <alignment wrapText="1"/>
    </xf>
    <xf numFmtId="0" fontId="15" fillId="0" borderId="0" xfId="0" applyFont="1" applyAlignment="1">
      <alignment horizontal="left" vertical="top"/>
    </xf>
    <xf numFmtId="0" fontId="6" fillId="0" borderId="1" xfId="3" applyFont="1" applyBorder="1" applyAlignment="1">
      <alignment horizontal="left" vertical="top" wrapText="1"/>
    </xf>
    <xf numFmtId="0" fontId="6" fillId="0" borderId="1" xfId="3" applyFont="1" applyFill="1" applyBorder="1" applyAlignment="1">
      <alignment horizontal="left" vertical="top" wrapText="1"/>
    </xf>
    <xf numFmtId="0" fontId="6" fillId="0" borderId="4" xfId="3" applyFont="1" applyBorder="1" applyAlignment="1">
      <alignment horizontal="left" vertical="top" wrapText="1"/>
    </xf>
    <xf numFmtId="0" fontId="6" fillId="0" borderId="4" xfId="3" applyFont="1" applyBorder="1" applyAlignment="1">
      <alignment vertical="top" wrapText="1"/>
    </xf>
    <xf numFmtId="0" fontId="6" fillId="0" borderId="8" xfId="3" applyFont="1" applyBorder="1" applyAlignment="1">
      <alignment vertical="top" wrapText="1"/>
    </xf>
    <xf numFmtId="0" fontId="7" fillId="0" borderId="4" xfId="3" applyFont="1" applyBorder="1" applyAlignment="1">
      <alignment vertical="top" wrapText="1"/>
    </xf>
    <xf numFmtId="0" fontId="6" fillId="3" borderId="2" xfId="1" applyFont="1" applyFill="1" applyBorder="1" applyAlignment="1">
      <alignment horizontal="left" vertical="top"/>
    </xf>
    <xf numFmtId="0" fontId="8" fillId="3" borderId="7" xfId="1" applyFont="1" applyFill="1" applyBorder="1" applyAlignment="1">
      <alignment horizontal="left" vertical="top"/>
    </xf>
    <xf numFmtId="0" fontId="0" fillId="0" borderId="1" xfId="0" applyBorder="1"/>
    <xf numFmtId="0" fontId="5" fillId="0" borderId="6" xfId="1" applyFont="1" applyFill="1" applyBorder="1" applyAlignment="1">
      <alignment vertical="top" wrapText="1"/>
    </xf>
    <xf numFmtId="0" fontId="5" fillId="0" borderId="1" xfId="1" applyFont="1" applyFill="1" applyBorder="1" applyAlignment="1">
      <alignment vertical="top" wrapText="1"/>
    </xf>
    <xf numFmtId="0" fontId="15" fillId="0" borderId="0" xfId="0" quotePrefix="1" applyFont="1" applyAlignment="1">
      <alignment horizontal="left" vertical="top"/>
    </xf>
    <xf numFmtId="0" fontId="16" fillId="10" borderId="5" xfId="1" applyFont="1" applyFill="1" applyBorder="1" applyAlignment="1">
      <alignment horizontal="center" vertical="top" wrapText="1"/>
    </xf>
    <xf numFmtId="0" fontId="17" fillId="0" borderId="0" xfId="0" applyFont="1" applyBorder="1" applyAlignment="1">
      <alignment horizontal="right" wrapText="1"/>
    </xf>
    <xf numFmtId="0" fontId="17" fillId="0" borderId="10" xfId="0" applyFont="1" applyBorder="1" applyAlignment="1">
      <alignment horizontal="right" wrapText="1"/>
    </xf>
    <xf numFmtId="0" fontId="16" fillId="10" borderId="1" xfId="2" applyFont="1" applyFill="1" applyBorder="1" applyAlignment="1">
      <alignment horizontal="center" vertical="center"/>
    </xf>
    <xf numFmtId="0" fontId="16" fillId="10" borderId="2" xfId="3" applyFont="1" applyFill="1" applyBorder="1" applyAlignment="1">
      <alignment horizontal="center" vertical="top"/>
    </xf>
    <xf numFmtId="0" fontId="16" fillId="10" borderId="7" xfId="3" applyFont="1" applyFill="1" applyBorder="1" applyAlignment="1">
      <alignment horizontal="center" vertical="top"/>
    </xf>
    <xf numFmtId="0" fontId="18" fillId="0" borderId="1" xfId="4" applyBorder="1" applyAlignment="1">
      <alignment horizontal="left" vertical="center" wrapText="1" indent="1"/>
    </xf>
    <xf numFmtId="171" fontId="6" fillId="0" borderId="2" xfId="0" applyNumberFormat="1" applyFont="1" applyFill="1" applyBorder="1" applyAlignment="1">
      <alignment horizontal="center" vertical="top" wrapText="1"/>
    </xf>
  </cellXfs>
  <cellStyles count="5">
    <cellStyle name="Heading 1" xfId="1" builtinId="16"/>
    <cellStyle name="Hyperlink" xfId="4" builtinId="8"/>
    <cellStyle name="Normal" xfId="0" builtinId="0"/>
    <cellStyle name="Normal 2" xfId="2"/>
    <cellStyle name="Normal 2 31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0-32CA-4AEB-9845-3D557959FE87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1-32CA-4AEB-9845-3D557959FE8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2-32CA-4AEB-9845-3D557959FE87}"/>
              </c:ext>
            </c:extLst>
          </c:dPt>
          <c:dPt>
            <c:idx val="3"/>
            <c:invertIfNegative val="0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3-32CA-4AEB-9845-3D557959FE87}"/>
              </c:ext>
            </c:extLst>
          </c:dPt>
          <c:dPt>
            <c:idx val="4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4-32CA-4AEB-9845-3D557959FE87}"/>
              </c:ext>
            </c:extLst>
          </c:dPt>
          <c:dPt>
            <c:idx val="5"/>
            <c:invertIfNegative val="0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5-32CA-4AEB-9845-3D557959FE87}"/>
              </c:ext>
            </c:extLst>
          </c:dPt>
          <c:cat>
            <c:strRef>
              <c:f>'Defect Status'!$F$5:$F$9</c:f>
              <c:strCache>
                <c:ptCount val="5"/>
                <c:pt idx="0">
                  <c:v>Open</c:v>
                </c:pt>
                <c:pt idx="1">
                  <c:v>Fixed</c:v>
                </c:pt>
                <c:pt idx="2">
                  <c:v>Re-Open</c:v>
                </c:pt>
                <c:pt idx="3">
                  <c:v>Deferred</c:v>
                </c:pt>
                <c:pt idx="4">
                  <c:v>Closed</c:v>
                </c:pt>
              </c:strCache>
            </c:strRef>
          </c:cat>
          <c:val>
            <c:numRef>
              <c:f>'Defect Status'!$G$5:$G$9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2CA-4AEB-9845-3D557959FE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692481519"/>
        <c:axId val="1"/>
        <c:axId val="0"/>
      </c:bar3DChart>
      <c:catAx>
        <c:axId val="69248151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92481519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28575</xdr:rowOff>
    </xdr:from>
    <xdr:to>
      <xdr:col>0</xdr:col>
      <xdr:colOff>1495425</xdr:colOff>
      <xdr:row>1</xdr:row>
      <xdr:rowOff>180975</xdr:rowOff>
    </xdr:to>
    <xdr:pic>
      <xdr:nvPicPr>
        <xdr:cNvPr id="1250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28575"/>
          <a:ext cx="1476375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3</xdr:row>
      <xdr:rowOff>104775</xdr:rowOff>
    </xdr:from>
    <xdr:to>
      <xdr:col>14</xdr:col>
      <xdr:colOff>523875</xdr:colOff>
      <xdr:row>18</xdr:row>
      <xdr:rowOff>38100</xdr:rowOff>
    </xdr:to>
    <xdr:graphicFrame macro="">
      <xdr:nvGraphicFramePr>
        <xdr:cNvPr id="421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karya-pmt.novactech.net/browse/NOVAPHILCM-1368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karya-pmt.novactech.net/browse/NOVAPHILCM-1314" TargetMode="External"/><Relationship Id="rId7" Type="http://schemas.openxmlformats.org/officeDocument/2006/relationships/hyperlink" Target="https://karya-pmt.novactech.net/browse/NOVAPHILCM-1318" TargetMode="External"/><Relationship Id="rId12" Type="http://schemas.openxmlformats.org/officeDocument/2006/relationships/hyperlink" Target="https://karya-pmt.novactech.net/browse/NOVAPHILCM-1544" TargetMode="External"/><Relationship Id="rId2" Type="http://schemas.openxmlformats.org/officeDocument/2006/relationships/hyperlink" Target="https://karya-pmt.novactech.net/browse/NOVAPHILCM-1313" TargetMode="External"/><Relationship Id="rId16" Type="http://schemas.openxmlformats.org/officeDocument/2006/relationships/comments" Target="../comments1.xml"/><Relationship Id="rId1" Type="http://schemas.openxmlformats.org/officeDocument/2006/relationships/hyperlink" Target="https://karya-pmt.novactech.net/browse/NOVAPHILCM-1312" TargetMode="External"/><Relationship Id="rId6" Type="http://schemas.openxmlformats.org/officeDocument/2006/relationships/hyperlink" Target="https://karya-pmt.novactech.net/browse/NOVAPHILCM-1317" TargetMode="External"/><Relationship Id="rId11" Type="http://schemas.openxmlformats.org/officeDocument/2006/relationships/hyperlink" Target="https://karya-pmt.novactech.net/browse/NOVAPHILCM-1543" TargetMode="External"/><Relationship Id="rId5" Type="http://schemas.openxmlformats.org/officeDocument/2006/relationships/hyperlink" Target="https://karya-pmt.novactech.net/browse/NOVAPHILCM-1316" TargetMode="External"/><Relationship Id="rId15" Type="http://schemas.openxmlformats.org/officeDocument/2006/relationships/vmlDrawing" Target="../drawings/vmlDrawing1.vml"/><Relationship Id="rId10" Type="http://schemas.openxmlformats.org/officeDocument/2006/relationships/hyperlink" Target="https://karya-pmt.novactech.net/browse/NOVAPHILCM-1370" TargetMode="External"/><Relationship Id="rId4" Type="http://schemas.openxmlformats.org/officeDocument/2006/relationships/hyperlink" Target="https://karya-pmt.novactech.net/browse/NOVAPHILCM-1315" TargetMode="External"/><Relationship Id="rId9" Type="http://schemas.openxmlformats.org/officeDocument/2006/relationships/hyperlink" Target="https://karya-pmt.novactech.net/browse/NOVAPHILCM-1369" TargetMode="External"/><Relationship Id="rId1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T19"/>
  <sheetViews>
    <sheetView showGridLines="0" tabSelected="1" zoomScale="70" zoomScaleNormal="70" workbookViewId="0">
      <selection activeCell="H15" sqref="H15"/>
    </sheetView>
  </sheetViews>
  <sheetFormatPr defaultRowHeight="15.75" x14ac:dyDescent="0.3"/>
  <cols>
    <col min="1" max="1" width="22.7109375" style="23" bestFit="1" customWidth="1"/>
    <col min="2" max="2" width="22.7109375" style="23" customWidth="1"/>
    <col min="3" max="3" width="16.140625" style="23" bestFit="1" customWidth="1"/>
    <col min="4" max="4" width="16.140625" style="23" customWidth="1"/>
    <col min="5" max="5" width="16.5703125" style="23" customWidth="1"/>
    <col min="6" max="6" width="14.7109375" style="23" bestFit="1" customWidth="1"/>
    <col min="7" max="7" width="17.85546875" style="23" bestFit="1" customWidth="1"/>
    <col min="8" max="8" width="19.85546875" customWidth="1"/>
    <col min="9" max="9" width="25.140625" style="24" bestFit="1" customWidth="1"/>
    <col min="10" max="10" width="52.85546875" style="24" customWidth="1"/>
    <col min="11" max="11" width="24.5703125" style="24" bestFit="1" customWidth="1"/>
    <col min="12" max="13" width="22.28515625" style="24" customWidth="1"/>
    <col min="14" max="14" width="13.28515625" customWidth="1"/>
    <col min="15" max="15" width="14.42578125" style="24" customWidth="1"/>
    <col min="16" max="16" width="16.85546875" style="24" customWidth="1"/>
    <col min="17" max="17" width="17.7109375" style="25" bestFit="1" customWidth="1"/>
    <col min="18" max="18" width="15" style="26" bestFit="1" customWidth="1"/>
    <col min="19" max="19" width="16.85546875" style="27" customWidth="1"/>
    <col min="20" max="20" width="21.5703125" style="24" customWidth="1"/>
    <col min="21" max="21" width="12.7109375" style="28" bestFit="1" customWidth="1"/>
    <col min="22" max="22" width="22.28515625" style="28" bestFit="1" customWidth="1"/>
    <col min="23" max="23" width="14" style="28" customWidth="1"/>
    <col min="24" max="24" width="9.140625" style="28"/>
    <col min="25" max="25" width="11.28515625" style="28" bestFit="1" customWidth="1"/>
    <col min="26" max="28" width="9.140625" style="28"/>
    <col min="29" max="35" width="0" style="28" hidden="1" customWidth="1"/>
    <col min="36" max="237" width="9.140625" style="28"/>
    <col min="238" max="238" width="13" style="28" bestFit="1" customWidth="1"/>
    <col min="239" max="239" width="20.5703125" style="28" bestFit="1" customWidth="1"/>
    <col min="240" max="240" width="23" style="28" customWidth="1"/>
    <col min="241" max="241" width="7.5703125" style="28" bestFit="1" customWidth="1"/>
    <col min="242" max="242" width="9.140625" style="28"/>
    <col min="243" max="243" width="15.140625" style="28" customWidth="1"/>
    <col min="244" max="244" width="15" style="28" customWidth="1"/>
    <col min="245" max="247" width="9.140625" style="28"/>
    <col min="248" max="248" width="22.5703125" style="28" bestFit="1" customWidth="1"/>
    <col min="249" max="249" width="56.28515625" style="28" bestFit="1" customWidth="1"/>
    <col min="250" max="16384" width="9.140625" style="28"/>
  </cols>
  <sheetData>
    <row r="1" spans="1:20" ht="15" customHeight="1" x14ac:dyDescent="0.3">
      <c r="A1" s="50" t="s">
        <v>53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</row>
    <row r="2" spans="1:20" ht="15" customHeight="1" x14ac:dyDescent="0.3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</row>
    <row r="3" spans="1:20" ht="15" customHeight="1" x14ac:dyDescent="0.3">
      <c r="H3" s="24"/>
      <c r="N3" s="24"/>
    </row>
    <row r="4" spans="1:20" ht="18.75" customHeight="1" x14ac:dyDescent="0.3">
      <c r="A4" s="49" t="s">
        <v>45</v>
      </c>
      <c r="B4" s="49"/>
      <c r="C4" s="49"/>
      <c r="D4" s="49"/>
      <c r="E4" s="49"/>
      <c r="F4" s="49"/>
      <c r="G4" s="4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</row>
    <row r="5" spans="1:20" ht="30" x14ac:dyDescent="0.3">
      <c r="A5" s="47" t="s">
        <v>84</v>
      </c>
      <c r="B5" s="47"/>
      <c r="C5" s="46"/>
      <c r="D5" s="46"/>
      <c r="E5" s="46"/>
      <c r="F5" s="46"/>
      <c r="G5" s="46"/>
      <c r="H5" s="46"/>
      <c r="I5" s="30"/>
      <c r="J5" s="31"/>
      <c r="K5" s="30"/>
      <c r="L5" s="31"/>
      <c r="M5" s="31"/>
      <c r="N5" s="31"/>
      <c r="O5" s="31"/>
      <c r="P5" s="31"/>
      <c r="Q5" s="32"/>
      <c r="R5" s="33"/>
      <c r="S5" s="34"/>
      <c r="T5" s="35"/>
    </row>
    <row r="6" spans="1:20" ht="45" x14ac:dyDescent="0.3">
      <c r="A6" s="10" t="s">
        <v>0</v>
      </c>
      <c r="B6" s="10" t="s">
        <v>6</v>
      </c>
      <c r="C6" s="10" t="s">
        <v>1</v>
      </c>
      <c r="D6" s="10" t="s">
        <v>56</v>
      </c>
      <c r="E6" s="10" t="s">
        <v>77</v>
      </c>
      <c r="F6" s="10" t="s">
        <v>78</v>
      </c>
      <c r="G6" s="10" t="s">
        <v>25</v>
      </c>
      <c r="H6" s="10" t="s">
        <v>2</v>
      </c>
      <c r="I6" s="11" t="s">
        <v>3</v>
      </c>
      <c r="J6" s="10" t="s">
        <v>4</v>
      </c>
      <c r="K6" s="10" t="s">
        <v>5</v>
      </c>
      <c r="L6" s="10" t="s">
        <v>35</v>
      </c>
      <c r="M6" s="10" t="s">
        <v>46</v>
      </c>
      <c r="N6" s="10" t="s">
        <v>17</v>
      </c>
      <c r="O6" s="10" t="s">
        <v>7</v>
      </c>
      <c r="P6" s="10" t="s">
        <v>24</v>
      </c>
      <c r="Q6" s="12" t="s">
        <v>8</v>
      </c>
      <c r="R6" s="12" t="s">
        <v>9</v>
      </c>
      <c r="S6" s="12" t="s">
        <v>28</v>
      </c>
      <c r="T6" s="10" t="s">
        <v>49</v>
      </c>
    </row>
    <row r="7" spans="1:20" ht="30" x14ac:dyDescent="0.3">
      <c r="A7" s="5" t="s">
        <v>86</v>
      </c>
      <c r="B7" s="3" t="s">
        <v>76</v>
      </c>
      <c r="C7" s="56">
        <v>45866</v>
      </c>
      <c r="D7" s="3" t="s">
        <v>57</v>
      </c>
      <c r="E7" s="6"/>
      <c r="F7" s="56">
        <v>45866</v>
      </c>
      <c r="G7" s="5" t="s">
        <v>126</v>
      </c>
      <c r="H7" s="45"/>
      <c r="I7" s="4" t="s">
        <v>90</v>
      </c>
      <c r="J7" s="4" t="s">
        <v>95</v>
      </c>
      <c r="K7" s="4"/>
      <c r="L7" s="4" t="s">
        <v>50</v>
      </c>
      <c r="M7" s="45" t="s">
        <v>52</v>
      </c>
      <c r="N7" s="45"/>
      <c r="O7" s="4" t="s">
        <v>23</v>
      </c>
      <c r="P7" s="4" t="s">
        <v>93</v>
      </c>
      <c r="Q7" s="4" t="s">
        <v>94</v>
      </c>
      <c r="R7" s="56">
        <v>45874</v>
      </c>
      <c r="S7" s="56">
        <v>45874</v>
      </c>
      <c r="T7" s="55" t="s">
        <v>92</v>
      </c>
    </row>
    <row r="8" spans="1:20" ht="30" x14ac:dyDescent="0.3">
      <c r="A8" s="5" t="s">
        <v>87</v>
      </c>
      <c r="B8" s="3" t="s">
        <v>76</v>
      </c>
      <c r="C8" s="56">
        <v>45866</v>
      </c>
      <c r="D8" s="3" t="s">
        <v>57</v>
      </c>
      <c r="E8" s="6"/>
      <c r="F8" s="56">
        <v>45866</v>
      </c>
      <c r="G8" s="5" t="s">
        <v>126</v>
      </c>
      <c r="H8" s="45"/>
      <c r="I8" s="4" t="s">
        <v>90</v>
      </c>
      <c r="J8" s="4" t="s">
        <v>96</v>
      </c>
      <c r="K8" s="4"/>
      <c r="L8" s="4" t="s">
        <v>50</v>
      </c>
      <c r="M8" s="45" t="s">
        <v>52</v>
      </c>
      <c r="N8" s="45"/>
      <c r="O8" s="4" t="s">
        <v>23</v>
      </c>
      <c r="P8" s="4" t="s">
        <v>93</v>
      </c>
      <c r="Q8" s="4" t="s">
        <v>94</v>
      </c>
      <c r="R8" s="56">
        <v>45897</v>
      </c>
      <c r="S8" s="56">
        <v>45897</v>
      </c>
      <c r="T8" s="55" t="s">
        <v>97</v>
      </c>
    </row>
    <row r="9" spans="1:20" ht="30" x14ac:dyDescent="0.3">
      <c r="A9" s="5" t="s">
        <v>88</v>
      </c>
      <c r="B9" s="3" t="s">
        <v>76</v>
      </c>
      <c r="C9" s="56">
        <v>45866</v>
      </c>
      <c r="D9" s="3" t="s">
        <v>57</v>
      </c>
      <c r="E9" s="6"/>
      <c r="F9" s="56">
        <v>45866</v>
      </c>
      <c r="G9" s="5" t="s">
        <v>126</v>
      </c>
      <c r="H9" s="45"/>
      <c r="I9" s="4" t="s">
        <v>90</v>
      </c>
      <c r="J9" s="4" t="s">
        <v>98</v>
      </c>
      <c r="K9" s="4"/>
      <c r="L9" s="4" t="s">
        <v>50</v>
      </c>
      <c r="M9" s="45" t="s">
        <v>52</v>
      </c>
      <c r="N9" s="45"/>
      <c r="O9" s="4" t="s">
        <v>23</v>
      </c>
      <c r="P9" s="4" t="s">
        <v>93</v>
      </c>
      <c r="Q9" s="4" t="s">
        <v>94</v>
      </c>
      <c r="R9" s="56">
        <v>45874</v>
      </c>
      <c r="S9" s="56">
        <v>45874</v>
      </c>
      <c r="T9" s="55" t="s">
        <v>99</v>
      </c>
    </row>
    <row r="10" spans="1:20" ht="30" x14ac:dyDescent="0.3">
      <c r="A10" s="5" t="s">
        <v>89</v>
      </c>
      <c r="B10" s="3" t="s">
        <v>76</v>
      </c>
      <c r="C10" s="56">
        <v>45866</v>
      </c>
      <c r="D10" s="3" t="s">
        <v>57</v>
      </c>
      <c r="E10" s="6"/>
      <c r="F10" s="56">
        <v>45866</v>
      </c>
      <c r="G10" s="5" t="s">
        <v>126</v>
      </c>
      <c r="H10" s="45"/>
      <c r="I10" s="4" t="s">
        <v>90</v>
      </c>
      <c r="J10" s="4" t="s">
        <v>100</v>
      </c>
      <c r="K10" s="4"/>
      <c r="L10" s="4" t="s">
        <v>50</v>
      </c>
      <c r="M10" s="45" t="s">
        <v>52</v>
      </c>
      <c r="N10" s="45"/>
      <c r="O10" s="4" t="s">
        <v>23</v>
      </c>
      <c r="P10" s="4" t="s">
        <v>93</v>
      </c>
      <c r="Q10" s="4" t="s">
        <v>94</v>
      </c>
      <c r="R10" s="56">
        <v>45874</v>
      </c>
      <c r="S10" s="56">
        <v>45874</v>
      </c>
      <c r="T10" s="55" t="s">
        <v>101</v>
      </c>
    </row>
    <row r="11" spans="1:20" ht="30" x14ac:dyDescent="0.3">
      <c r="A11" s="5" t="s">
        <v>105</v>
      </c>
      <c r="B11" s="3" t="s">
        <v>76</v>
      </c>
      <c r="C11" s="56">
        <v>45866</v>
      </c>
      <c r="D11" s="3" t="s">
        <v>57</v>
      </c>
      <c r="E11" s="6"/>
      <c r="F11" s="56">
        <v>45866</v>
      </c>
      <c r="G11" s="5" t="s">
        <v>126</v>
      </c>
      <c r="H11" s="45"/>
      <c r="I11" s="4" t="s">
        <v>90</v>
      </c>
      <c r="J11" s="4" t="s">
        <v>102</v>
      </c>
      <c r="K11" s="4"/>
      <c r="L11" s="4" t="s">
        <v>50</v>
      </c>
      <c r="M11" s="45" t="s">
        <v>52</v>
      </c>
      <c r="N11" s="45"/>
      <c r="O11" s="4" t="s">
        <v>23</v>
      </c>
      <c r="P11" s="4" t="s">
        <v>93</v>
      </c>
      <c r="Q11" s="4" t="s">
        <v>94</v>
      </c>
      <c r="R11" s="56">
        <v>45897</v>
      </c>
      <c r="S11" s="56">
        <v>45897</v>
      </c>
      <c r="T11" s="55" t="s">
        <v>103</v>
      </c>
    </row>
    <row r="12" spans="1:20" ht="30" x14ac:dyDescent="0.3">
      <c r="A12" s="5" t="s">
        <v>106</v>
      </c>
      <c r="B12" s="3" t="s">
        <v>76</v>
      </c>
      <c r="C12" s="56">
        <v>45866</v>
      </c>
      <c r="D12" s="3" t="s">
        <v>57</v>
      </c>
      <c r="E12" s="6"/>
      <c r="F12" s="56">
        <v>45866</v>
      </c>
      <c r="G12" s="5" t="s">
        <v>126</v>
      </c>
      <c r="H12" s="45"/>
      <c r="I12" s="4" t="s">
        <v>90</v>
      </c>
      <c r="J12" s="4" t="s">
        <v>104</v>
      </c>
      <c r="K12" s="4"/>
      <c r="L12" s="4" t="s">
        <v>50</v>
      </c>
      <c r="M12" s="45" t="s">
        <v>52</v>
      </c>
      <c r="N12" s="45"/>
      <c r="O12" s="4" t="s">
        <v>23</v>
      </c>
      <c r="P12" s="4" t="s">
        <v>93</v>
      </c>
      <c r="Q12" s="4" t="s">
        <v>94</v>
      </c>
      <c r="R12" s="56">
        <v>45874</v>
      </c>
      <c r="S12" s="56">
        <v>45874</v>
      </c>
      <c r="T12" s="55" t="s">
        <v>113</v>
      </c>
    </row>
    <row r="13" spans="1:20" ht="30" x14ac:dyDescent="0.3">
      <c r="A13" s="5" t="s">
        <v>107</v>
      </c>
      <c r="B13" s="3" t="s">
        <v>76</v>
      </c>
      <c r="C13" s="56">
        <v>45866</v>
      </c>
      <c r="D13" s="3" t="s">
        <v>57</v>
      </c>
      <c r="E13" s="6"/>
      <c r="F13" s="56">
        <v>45866</v>
      </c>
      <c r="G13" s="5" t="s">
        <v>126</v>
      </c>
      <c r="H13" s="45"/>
      <c r="I13" s="4" t="s">
        <v>90</v>
      </c>
      <c r="J13" s="4" t="s">
        <v>114</v>
      </c>
      <c r="K13" s="4"/>
      <c r="L13" s="4" t="s">
        <v>50</v>
      </c>
      <c r="M13" s="45" t="s">
        <v>52</v>
      </c>
      <c r="N13" s="45"/>
      <c r="O13" s="4" t="s">
        <v>23</v>
      </c>
      <c r="P13" s="4" t="s">
        <v>93</v>
      </c>
      <c r="Q13" s="4" t="s">
        <v>94</v>
      </c>
      <c r="R13" s="56">
        <v>45874</v>
      </c>
      <c r="S13" s="56">
        <v>45874</v>
      </c>
      <c r="T13" s="55" t="s">
        <v>115</v>
      </c>
    </row>
    <row r="14" spans="1:20" ht="30" x14ac:dyDescent="0.3">
      <c r="A14" s="5" t="s">
        <v>108</v>
      </c>
      <c r="B14" s="3" t="s">
        <v>76</v>
      </c>
      <c r="C14" s="56">
        <v>45874</v>
      </c>
      <c r="D14" s="3" t="s">
        <v>57</v>
      </c>
      <c r="E14" s="6"/>
      <c r="F14" s="56">
        <v>45874</v>
      </c>
      <c r="G14" s="5" t="s">
        <v>126</v>
      </c>
      <c r="H14" s="45"/>
      <c r="I14" s="4" t="s">
        <v>90</v>
      </c>
      <c r="J14" s="4" t="s">
        <v>116</v>
      </c>
      <c r="K14" s="4"/>
      <c r="L14" s="4" t="s">
        <v>50</v>
      </c>
      <c r="M14" s="45" t="s">
        <v>52</v>
      </c>
      <c r="N14" s="45"/>
      <c r="O14" s="4" t="s">
        <v>23</v>
      </c>
      <c r="P14" s="4" t="s">
        <v>93</v>
      </c>
      <c r="Q14" s="4" t="s">
        <v>94</v>
      </c>
      <c r="R14" s="56">
        <v>45897</v>
      </c>
      <c r="S14" s="56">
        <v>45897</v>
      </c>
      <c r="T14" s="55" t="s">
        <v>117</v>
      </c>
    </row>
    <row r="15" spans="1:20" ht="30" x14ac:dyDescent="0.3">
      <c r="A15" s="5" t="s">
        <v>109</v>
      </c>
      <c r="B15" s="3" t="s">
        <v>76</v>
      </c>
      <c r="C15" s="56">
        <v>45874</v>
      </c>
      <c r="D15" s="3" t="s">
        <v>57</v>
      </c>
      <c r="E15" s="6"/>
      <c r="F15" s="56">
        <v>45874</v>
      </c>
      <c r="G15" s="5" t="s">
        <v>126</v>
      </c>
      <c r="H15" s="45"/>
      <c r="I15" s="4" t="s">
        <v>90</v>
      </c>
      <c r="J15" s="4" t="s">
        <v>118</v>
      </c>
      <c r="K15" s="4"/>
      <c r="L15" s="4" t="s">
        <v>50</v>
      </c>
      <c r="M15" s="45" t="s">
        <v>52</v>
      </c>
      <c r="N15" s="45"/>
      <c r="O15" s="4" t="s">
        <v>23</v>
      </c>
      <c r="P15" s="4" t="s">
        <v>93</v>
      </c>
      <c r="Q15" s="4" t="s">
        <v>94</v>
      </c>
      <c r="R15" s="56">
        <v>45897</v>
      </c>
      <c r="S15" s="56">
        <v>45897</v>
      </c>
      <c r="T15" s="55" t="s">
        <v>119</v>
      </c>
    </row>
    <row r="16" spans="1:20" ht="35.25" customHeight="1" x14ac:dyDescent="0.3">
      <c r="A16" s="5" t="s">
        <v>110</v>
      </c>
      <c r="B16" s="3" t="s">
        <v>76</v>
      </c>
      <c r="C16" s="56">
        <v>45866</v>
      </c>
      <c r="D16" s="3" t="s">
        <v>57</v>
      </c>
      <c r="E16" s="6"/>
      <c r="F16" s="56">
        <v>45866</v>
      </c>
      <c r="G16" s="5" t="s">
        <v>126</v>
      </c>
      <c r="H16" s="45"/>
      <c r="I16" s="4" t="s">
        <v>90</v>
      </c>
      <c r="J16" s="4" t="s">
        <v>120</v>
      </c>
      <c r="K16" s="4"/>
      <c r="L16" s="4" t="s">
        <v>50</v>
      </c>
      <c r="M16" s="45" t="s">
        <v>52</v>
      </c>
      <c r="N16" s="45"/>
      <c r="O16" s="4" t="s">
        <v>23</v>
      </c>
      <c r="P16" s="4" t="s">
        <v>93</v>
      </c>
      <c r="Q16" s="4" t="s">
        <v>94</v>
      </c>
      <c r="R16" s="56">
        <v>45897</v>
      </c>
      <c r="S16" s="56">
        <v>45897</v>
      </c>
      <c r="T16" s="55" t="s">
        <v>121</v>
      </c>
    </row>
    <row r="17" spans="1:20" ht="15" customHeight="1" x14ac:dyDescent="0.3">
      <c r="A17" s="5" t="s">
        <v>111</v>
      </c>
      <c r="B17" s="3" t="s">
        <v>76</v>
      </c>
      <c r="C17" s="56">
        <v>45897</v>
      </c>
      <c r="D17" s="3" t="s">
        <v>57</v>
      </c>
      <c r="E17" s="6"/>
      <c r="F17" s="56">
        <v>45897</v>
      </c>
      <c r="G17" s="5" t="s">
        <v>126</v>
      </c>
      <c r="H17" s="45"/>
      <c r="I17" s="4" t="s">
        <v>90</v>
      </c>
      <c r="J17" s="4" t="s">
        <v>123</v>
      </c>
      <c r="K17" s="4"/>
      <c r="L17" s="4" t="s">
        <v>50</v>
      </c>
      <c r="M17" s="45" t="s">
        <v>52</v>
      </c>
      <c r="N17" s="45"/>
      <c r="O17" s="4" t="s">
        <v>23</v>
      </c>
      <c r="P17" s="4" t="s">
        <v>93</v>
      </c>
      <c r="Q17" s="4" t="s">
        <v>94</v>
      </c>
      <c r="R17" s="56">
        <v>45916</v>
      </c>
      <c r="S17" s="56">
        <v>45916</v>
      </c>
      <c r="T17" s="55" t="s">
        <v>122</v>
      </c>
    </row>
    <row r="18" spans="1:20" ht="30" x14ac:dyDescent="0.3">
      <c r="A18" s="5" t="s">
        <v>112</v>
      </c>
      <c r="B18" s="3" t="s">
        <v>76</v>
      </c>
      <c r="C18" s="56">
        <v>45897</v>
      </c>
      <c r="D18" s="3" t="s">
        <v>57</v>
      </c>
      <c r="E18" s="6"/>
      <c r="F18" s="56">
        <v>45897</v>
      </c>
      <c r="G18" s="5" t="s">
        <v>126</v>
      </c>
      <c r="H18" s="45"/>
      <c r="I18" s="4" t="s">
        <v>90</v>
      </c>
      <c r="J18" s="4" t="s">
        <v>124</v>
      </c>
      <c r="K18" s="4"/>
      <c r="L18" s="4" t="s">
        <v>50</v>
      </c>
      <c r="M18" s="45" t="s">
        <v>52</v>
      </c>
      <c r="N18" s="45"/>
      <c r="O18" s="4" t="s">
        <v>23</v>
      </c>
      <c r="P18" s="4" t="s">
        <v>93</v>
      </c>
      <c r="Q18" s="4" t="s">
        <v>94</v>
      </c>
      <c r="R18" s="56">
        <v>45919</v>
      </c>
      <c r="S18" s="56">
        <v>45919</v>
      </c>
      <c r="T18" s="55" t="s">
        <v>125</v>
      </c>
    </row>
    <row r="19" spans="1:20" ht="15" customHeight="1" x14ac:dyDescent="0.3">
      <c r="A19" s="5"/>
      <c r="B19" s="3"/>
      <c r="C19" s="5"/>
      <c r="D19" s="3"/>
      <c r="E19" s="6"/>
      <c r="F19" s="7"/>
      <c r="G19" s="5"/>
      <c r="H19" s="45"/>
      <c r="I19" s="4"/>
      <c r="J19" s="4"/>
      <c r="K19" s="4"/>
      <c r="L19" s="4"/>
      <c r="M19" s="45"/>
      <c r="N19" s="45"/>
      <c r="O19" s="4"/>
      <c r="P19" s="4"/>
      <c r="Q19" s="4"/>
      <c r="R19" s="8"/>
      <c r="S19" s="8"/>
      <c r="T19" s="9"/>
    </row>
  </sheetData>
  <mergeCells count="2">
    <mergeCell ref="A4:G4"/>
    <mergeCell ref="A1:T2"/>
  </mergeCells>
  <dataValidations count="5">
    <dataValidation type="list" allowBlank="1" showInputMessage="1" showErrorMessage="1" sqref="L7:L19">
      <formula1>"Functional, Non-Functional, Development Issues, Data, Infrastructure"</formula1>
    </dataValidation>
    <dataValidation type="list" allowBlank="1" showInputMessage="1" showErrorMessage="1" sqref="B7:B19">
      <formula1>"Unit, SIT"</formula1>
    </dataValidation>
    <dataValidation type="list" allowBlank="1" showInputMessage="1" showErrorMessage="1" sqref="O7:O19">
      <formula1>"Open, Fixed, Reopen-1,Reopen-2,Reopen-3, Deferred, Closed"</formula1>
    </dataValidation>
    <dataValidation type="list" allowBlank="1" showInputMessage="1" showErrorMessage="1" sqref="D7:D19">
      <formula1>IF(B7="Unit",#REF!,IF(B7="SIT",#REF!,))</formula1>
    </dataValidation>
    <dataValidation type="list" allowBlank="1" showInputMessage="1" showErrorMessage="1" sqref="M7:M19">
      <formula1>IF(L7="Functional",#REF!,IF(L7="Non-Functional",#REF!,IF(L7="Development Issues",#REF!,IF(L7="Data",#REF!,IF(L7="Infrastructure",#REF!,)))))</formula1>
    </dataValidation>
  </dataValidations>
  <hyperlinks>
    <hyperlink ref="T7" r:id="rId1" display="https://karya-pmt.novactech.net/browse/NOVAPHILCM-1312"/>
    <hyperlink ref="T8" r:id="rId2" display="https://karya-pmt.novactech.net/browse/NOVAPHILCM-1313"/>
    <hyperlink ref="T9" r:id="rId3" display="https://karya-pmt.novactech.net/browse/NOVAPHILCM-1314"/>
    <hyperlink ref="T10" r:id="rId4" display="https://karya-pmt.novactech.net/browse/NOVAPHILCM-1315"/>
    <hyperlink ref="T11" r:id="rId5" display="https://karya-pmt.novactech.net/browse/NOVAPHILCM-1316"/>
    <hyperlink ref="T12" r:id="rId6" display="https://karya-pmt.novactech.net/browse/NOVAPHILCM-1317"/>
    <hyperlink ref="T13" r:id="rId7" display="https://karya-pmt.novactech.net/browse/NOVAPHILCM-1318"/>
    <hyperlink ref="T14" r:id="rId8" display="https://karya-pmt.novactech.net/browse/NOVAPHILCM-1368"/>
    <hyperlink ref="T15" r:id="rId9" display="https://karya-pmt.novactech.net/browse/NOVAPHILCM-1369"/>
    <hyperlink ref="T16" r:id="rId10" display="https://karya-pmt.novactech.net/browse/NOVAPHILCM-1370"/>
    <hyperlink ref="T17" r:id="rId11" display="https://karya-pmt.novactech.net/browse/NOVAPHILCM-1543"/>
    <hyperlink ref="T18" r:id="rId12" display="https://karya-pmt.novactech.net/browse/NOVAPHILCM-1544"/>
  </hyperlinks>
  <printOptions horizontalCentered="1"/>
  <pageMargins left="0.70866141732283472" right="0.70866141732283472" top="0.74803149606299213" bottom="0.74803149606299213" header="0.31496062992125984" footer="0.31496062992125984"/>
  <pageSetup scale="28" fitToHeight="0" orientation="landscape" verticalDpi="300" r:id="rId13"/>
  <headerFooter>
    <oddHeader>&amp;L&amp;"Bookman Old Style,Regular"&amp;10Novac Technology Solutions&amp;C&amp;"Bookman Old Style,Regular"&amp;10Defect Tracker &amp;R&amp;10Defect Tracker</oddHeader>
    <oddFooter>&amp;L&amp;"Bookman Old Style,Regular"&amp;10Confidential&amp;C&amp;"Bookman Old Style,Regular"&amp;10Template V. No. 1.00
QMS V. No. 5.00</oddFooter>
  </headerFooter>
  <drawing r:id="rId14"/>
  <legacy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O20"/>
  <sheetViews>
    <sheetView showGridLines="0" zoomScaleNormal="100" workbookViewId="0">
      <selection activeCell="F14" sqref="F14"/>
    </sheetView>
  </sheetViews>
  <sheetFormatPr defaultRowHeight="15" x14ac:dyDescent="0.3"/>
  <cols>
    <col min="1" max="1" width="6.42578125" style="21" customWidth="1"/>
    <col min="2" max="2" width="9.5703125" style="21" customWidth="1"/>
    <col min="3" max="3" width="12.28515625" style="21" customWidth="1"/>
    <col min="4" max="4" width="12.5703125" style="21" customWidth="1"/>
    <col min="5" max="5" width="9.140625" style="21"/>
    <col min="6" max="6" width="11.42578125" style="21" customWidth="1"/>
    <col min="7" max="16384" width="9.140625" style="21"/>
  </cols>
  <sheetData>
    <row r="3" spans="1:15" x14ac:dyDescent="0.3">
      <c r="A3" s="52" t="s">
        <v>37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</row>
    <row r="5" spans="1:15" ht="15.75" x14ac:dyDescent="0.3">
      <c r="B5" s="2" t="s">
        <v>41</v>
      </c>
      <c r="C5" s="2" t="s">
        <v>38</v>
      </c>
      <c r="D5" s="2" t="s">
        <v>7</v>
      </c>
      <c r="E5" s="1"/>
      <c r="F5" s="13" t="s">
        <v>19</v>
      </c>
      <c r="G5" s="14">
        <f>COUNTIF(D6:D95,F5)</f>
        <v>0</v>
      </c>
    </row>
    <row r="6" spans="1:15" ht="15.75" x14ac:dyDescent="0.3">
      <c r="B6" s="4">
        <v>1</v>
      </c>
      <c r="C6" s="4" t="s">
        <v>86</v>
      </c>
      <c r="D6" s="4" t="str">
        <f>VLOOKUP(C6,'Defect Tracker'!$A$6:$O$19,15,FALSE)</f>
        <v>Closed</v>
      </c>
      <c r="E6" s="1"/>
      <c r="F6" s="15" t="s">
        <v>22</v>
      </c>
      <c r="G6" s="14">
        <f>COUNTIF(D6:D95,F6)</f>
        <v>0</v>
      </c>
    </row>
    <row r="7" spans="1:15" ht="15.75" x14ac:dyDescent="0.3">
      <c r="B7" s="4">
        <v>2</v>
      </c>
      <c r="C7" s="4" t="s">
        <v>87</v>
      </c>
      <c r="D7" s="4" t="str">
        <f>VLOOKUP(C7,'Defect Tracker'!$A$6:$O$19,15,FALSE)</f>
        <v>Closed</v>
      </c>
      <c r="E7" s="1"/>
      <c r="F7" s="16" t="s">
        <v>42</v>
      </c>
      <c r="G7" s="14">
        <f>COUNTIF(D6:D95, F7)</f>
        <v>0</v>
      </c>
    </row>
    <row r="8" spans="1:15" ht="15.75" x14ac:dyDescent="0.3">
      <c r="B8" s="4">
        <v>3</v>
      </c>
      <c r="C8" s="4" t="s">
        <v>88</v>
      </c>
      <c r="D8" s="4" t="str">
        <f>VLOOKUP(C8,'Defect Tracker'!$A$6:$O$19,15,FALSE)</f>
        <v>Closed</v>
      </c>
      <c r="E8" s="1"/>
      <c r="F8" s="17" t="s">
        <v>40</v>
      </c>
      <c r="G8" s="14">
        <f>COUNTIF(D6:D95,F8)</f>
        <v>0</v>
      </c>
    </row>
    <row r="9" spans="1:15" ht="15.75" x14ac:dyDescent="0.3">
      <c r="B9" s="4">
        <v>4</v>
      </c>
      <c r="C9" s="4" t="s">
        <v>89</v>
      </c>
      <c r="D9" s="4" t="str">
        <f>VLOOKUP(C9,'Defect Tracker'!$A$6:$O$19,15,FALSE)</f>
        <v>Closed</v>
      </c>
      <c r="E9" s="1"/>
      <c r="F9" s="18" t="s">
        <v>23</v>
      </c>
      <c r="G9" s="14">
        <f>COUNTIF(D6:D95,F9)</f>
        <v>4</v>
      </c>
    </row>
    <row r="10" spans="1:15" ht="15.75" x14ac:dyDescent="0.3">
      <c r="B10" s="4">
        <v>5</v>
      </c>
      <c r="C10" s="4" t="s">
        <v>91</v>
      </c>
      <c r="D10" s="4" t="e">
        <f>VLOOKUP(C10,'Defect Tracker'!$A$6:$O$19,15,FALSE)</f>
        <v>#N/A</v>
      </c>
      <c r="E10" s="1"/>
      <c r="F10" s="19" t="s">
        <v>39</v>
      </c>
      <c r="G10" s="20">
        <f>SUM(G5:G9)</f>
        <v>4</v>
      </c>
    </row>
    <row r="11" spans="1:15" ht="15.75" x14ac:dyDescent="0.3">
      <c r="B11" s="4">
        <v>6</v>
      </c>
      <c r="C11" s="4" t="s">
        <v>91</v>
      </c>
      <c r="D11" s="4" t="e">
        <f>VLOOKUP(C11,'Defect Tracker'!$A$6:$O$19,15,FALSE)</f>
        <v>#N/A</v>
      </c>
      <c r="E11" s="1"/>
      <c r="F11" s="1"/>
      <c r="G11" s="1"/>
    </row>
    <row r="12" spans="1:15" ht="15.75" x14ac:dyDescent="0.3">
      <c r="B12" s="4">
        <v>7</v>
      </c>
      <c r="C12" s="4" t="s">
        <v>91</v>
      </c>
      <c r="D12" s="4" t="e">
        <f>VLOOKUP(C12,'Defect Tracker'!$A$6:$O$19,15,FALSE)</f>
        <v>#N/A</v>
      </c>
      <c r="E12" s="1"/>
      <c r="F12" s="1"/>
      <c r="G12" s="1"/>
    </row>
    <row r="13" spans="1:15" ht="15.75" x14ac:dyDescent="0.3">
      <c r="B13" s="4">
        <v>8</v>
      </c>
      <c r="C13" s="4" t="s">
        <v>91</v>
      </c>
      <c r="D13" s="4" t="e">
        <f>VLOOKUP(C13,'Defect Tracker'!$A$6:$O$19,15,FALSE)</f>
        <v>#N/A</v>
      </c>
      <c r="E13" s="1"/>
      <c r="F13" s="1"/>
      <c r="G13" s="1"/>
    </row>
    <row r="14" spans="1:15" ht="15.75" x14ac:dyDescent="0.3">
      <c r="B14" s="4">
        <v>9</v>
      </c>
      <c r="C14" s="4" t="s">
        <v>91</v>
      </c>
      <c r="D14" s="4" t="e">
        <f>VLOOKUP(C14,'Defect Tracker'!$A$6:$O$19,15,FALSE)</f>
        <v>#N/A</v>
      </c>
      <c r="E14" s="1"/>
      <c r="F14" s="1"/>
      <c r="G14" s="1"/>
    </row>
    <row r="15" spans="1:15" ht="15.75" x14ac:dyDescent="0.3">
      <c r="B15" s="4">
        <v>10</v>
      </c>
      <c r="C15" s="4" t="s">
        <v>91</v>
      </c>
      <c r="D15" s="4" t="e">
        <f>VLOOKUP(C15,'Defect Tracker'!$A$6:$O$19,15,FALSE)</f>
        <v>#N/A</v>
      </c>
      <c r="E15" s="1"/>
      <c r="F15" s="1"/>
      <c r="G15" s="1"/>
    </row>
    <row r="16" spans="1:15" ht="15.75" x14ac:dyDescent="0.3">
      <c r="B16" s="1"/>
      <c r="C16" s="1"/>
      <c r="D16" s="1"/>
      <c r="E16" s="1"/>
      <c r="F16" s="1"/>
      <c r="G16" s="1"/>
    </row>
    <row r="17" spans="2:7" ht="15.75" x14ac:dyDescent="0.3">
      <c r="B17" s="1"/>
      <c r="C17" s="1"/>
      <c r="D17" s="1"/>
      <c r="E17" s="1"/>
      <c r="F17" s="1"/>
      <c r="G17" s="1"/>
    </row>
    <row r="18" spans="2:7" ht="15.75" x14ac:dyDescent="0.3">
      <c r="B18" s="1"/>
      <c r="C18" s="1"/>
      <c r="D18" s="1"/>
      <c r="E18" s="1"/>
      <c r="F18" s="1"/>
      <c r="G18" s="1"/>
    </row>
    <row r="20" spans="2:7" x14ac:dyDescent="0.3">
      <c r="F20" s="22"/>
    </row>
  </sheetData>
  <mergeCells count="1">
    <mergeCell ref="A3:O3"/>
  </mergeCells>
  <printOptions horizontalCentered="1"/>
  <pageMargins left="0.70866141732283472" right="0.70866141732283472" top="0.74803149606299213" bottom="0.74803149606299213" header="0.31496062992125984" footer="0.31496062992125984"/>
  <pageSetup scale="84" fitToHeight="0" orientation="landscape" r:id="rId1"/>
  <headerFooter>
    <oddHeader>&amp;L&amp;"Bookman Old Style,Regular"&amp;10Novac Technology Solutions&amp;R&amp;"Bookman Old Style,Regular"&amp;10Defect Tracker</oddHeader>
    <oddFooter>&amp;L&amp;"Bookman Old Style,Regular"&amp;10Confidential&amp;C&amp;"Bookman Old Style,Regular"&amp;10Template V. No. 1.00
QMS V. No. 5.00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3"/>
  <sheetViews>
    <sheetView showGridLines="0" topLeftCell="A28" zoomScaleNormal="100" zoomScaleSheetLayoutView="100" workbookViewId="0">
      <selection activeCell="A43" sqref="A43:IV43"/>
    </sheetView>
  </sheetViews>
  <sheetFormatPr defaultRowHeight="12.75" x14ac:dyDescent="0.25"/>
  <cols>
    <col min="1" max="1" width="23.5703125" style="36" customWidth="1"/>
    <col min="2" max="2" width="88.85546875" style="36" customWidth="1"/>
    <col min="3" max="3" width="12.140625" style="36" customWidth="1"/>
    <col min="4" max="4" width="16.140625" style="36" customWidth="1"/>
    <col min="5" max="5" width="11" style="36" customWidth="1"/>
    <col min="6" max="6" width="14.140625" style="36" customWidth="1"/>
    <col min="7" max="7" width="11.7109375" style="36" customWidth="1"/>
    <col min="8" max="8" width="12.42578125" style="36" customWidth="1"/>
    <col min="9" max="9" width="9.140625" style="36" customWidth="1"/>
    <col min="10" max="240" width="9.140625" style="36"/>
    <col min="241" max="241" width="23" style="36" customWidth="1"/>
    <col min="242" max="247" width="9.140625" style="36"/>
    <col min="248" max="248" width="13.140625" style="36" customWidth="1"/>
    <col min="249" max="249" width="21.28515625" style="36" customWidth="1"/>
    <col min="250" max="250" width="18.5703125" style="36" customWidth="1"/>
    <col min="251" max="16384" width="9.140625" style="36"/>
  </cols>
  <sheetData>
    <row r="1" spans="1:5" ht="15" x14ac:dyDescent="0.25">
      <c r="A1" s="53" t="s">
        <v>10</v>
      </c>
      <c r="B1" s="54"/>
    </row>
    <row r="2" spans="1:5" ht="15" x14ac:dyDescent="0.25">
      <c r="A2" s="43" t="s">
        <v>11</v>
      </c>
      <c r="B2" s="44"/>
    </row>
    <row r="3" spans="1:5" ht="60" x14ac:dyDescent="0.25">
      <c r="A3" s="37" t="s">
        <v>12</v>
      </c>
      <c r="B3" s="38" t="s">
        <v>85</v>
      </c>
      <c r="E3" s="48"/>
    </row>
    <row r="4" spans="1:5" ht="15" x14ac:dyDescent="0.25">
      <c r="A4" s="37" t="s">
        <v>43</v>
      </c>
      <c r="B4" s="38" t="s">
        <v>44</v>
      </c>
    </row>
    <row r="5" spans="1:5" ht="15" customHeight="1" x14ac:dyDescent="0.25">
      <c r="A5" s="37" t="s">
        <v>1</v>
      </c>
      <c r="B5" s="38" t="s">
        <v>13</v>
      </c>
    </row>
    <row r="6" spans="1:5" ht="53.25" x14ac:dyDescent="0.25">
      <c r="A6" s="37" t="s">
        <v>56</v>
      </c>
      <c r="B6" s="38" t="s">
        <v>82</v>
      </c>
    </row>
    <row r="7" spans="1:5" ht="45" x14ac:dyDescent="0.25">
      <c r="A7" s="37" t="s">
        <v>77</v>
      </c>
      <c r="B7" s="38" t="s">
        <v>80</v>
      </c>
    </row>
    <row r="8" spans="1:5" ht="45" x14ac:dyDescent="0.25">
      <c r="A8" s="37" t="s">
        <v>79</v>
      </c>
      <c r="B8" s="38" t="s">
        <v>81</v>
      </c>
    </row>
    <row r="9" spans="1:5" ht="30" x14ac:dyDescent="0.25">
      <c r="A9" s="37" t="s">
        <v>25</v>
      </c>
      <c r="B9" s="38" t="s">
        <v>26</v>
      </c>
    </row>
    <row r="10" spans="1:5" ht="30" x14ac:dyDescent="0.25">
      <c r="A10" s="37" t="s">
        <v>14</v>
      </c>
      <c r="B10" s="38" t="s">
        <v>27</v>
      </c>
    </row>
    <row r="11" spans="1:5" ht="75" x14ac:dyDescent="0.25">
      <c r="A11" s="37" t="s">
        <v>83</v>
      </c>
      <c r="B11" s="38" t="s">
        <v>29</v>
      </c>
    </row>
    <row r="12" spans="1:5" ht="30" x14ac:dyDescent="0.25">
      <c r="A12" s="37" t="s">
        <v>15</v>
      </c>
      <c r="B12" s="38" t="s">
        <v>16</v>
      </c>
    </row>
    <row r="13" spans="1:5" ht="128.25" customHeight="1" x14ac:dyDescent="0.25">
      <c r="A13" s="37" t="s">
        <v>35</v>
      </c>
      <c r="B13" s="38" t="s">
        <v>36</v>
      </c>
    </row>
    <row r="14" spans="1:5" ht="360" x14ac:dyDescent="0.25">
      <c r="A14" s="39" t="s">
        <v>46</v>
      </c>
      <c r="B14" s="38" t="s">
        <v>54</v>
      </c>
    </row>
    <row r="15" spans="1:5" ht="15" x14ac:dyDescent="0.25">
      <c r="A15" s="40" t="s">
        <v>17</v>
      </c>
      <c r="B15" s="38" t="s">
        <v>31</v>
      </c>
    </row>
    <row r="16" spans="1:5" ht="15" x14ac:dyDescent="0.25">
      <c r="A16" s="41"/>
      <c r="B16" s="42" t="s">
        <v>32</v>
      </c>
    </row>
    <row r="17" spans="1:2" ht="15" x14ac:dyDescent="0.25">
      <c r="A17" s="41"/>
      <c r="B17" s="38" t="s">
        <v>51</v>
      </c>
    </row>
    <row r="18" spans="1:2" ht="15" x14ac:dyDescent="0.25">
      <c r="A18" s="41"/>
      <c r="B18" s="38" t="s">
        <v>58</v>
      </c>
    </row>
    <row r="19" spans="1:2" ht="15" x14ac:dyDescent="0.25">
      <c r="A19" s="41"/>
      <c r="B19" s="38" t="s">
        <v>59</v>
      </c>
    </row>
    <row r="20" spans="1:2" ht="15" x14ac:dyDescent="0.25">
      <c r="A20" s="41"/>
      <c r="B20" s="38" t="s">
        <v>60</v>
      </c>
    </row>
    <row r="21" spans="1:2" ht="15" x14ac:dyDescent="0.25">
      <c r="A21" s="41"/>
      <c r="B21" s="38" t="s">
        <v>61</v>
      </c>
    </row>
    <row r="22" spans="1:2" ht="15" x14ac:dyDescent="0.25">
      <c r="A22" s="41"/>
      <c r="B22" s="38" t="s">
        <v>62</v>
      </c>
    </row>
    <row r="23" spans="1:2" ht="15" x14ac:dyDescent="0.25">
      <c r="A23" s="41"/>
      <c r="B23" s="38" t="s">
        <v>63</v>
      </c>
    </row>
    <row r="24" spans="1:2" ht="15" x14ac:dyDescent="0.25">
      <c r="A24" s="41"/>
      <c r="B24" s="42" t="s">
        <v>33</v>
      </c>
    </row>
    <row r="25" spans="1:2" ht="15" x14ac:dyDescent="0.25">
      <c r="A25" s="41"/>
      <c r="B25" s="38" t="s">
        <v>30</v>
      </c>
    </row>
    <row r="26" spans="1:2" ht="15" x14ac:dyDescent="0.25">
      <c r="A26" s="41"/>
      <c r="B26" s="38" t="s">
        <v>64</v>
      </c>
    </row>
    <row r="27" spans="1:2" ht="15" x14ac:dyDescent="0.25">
      <c r="A27" s="41"/>
      <c r="B27" s="38" t="s">
        <v>65</v>
      </c>
    </row>
    <row r="28" spans="1:2" ht="15" x14ac:dyDescent="0.25">
      <c r="A28" s="41"/>
      <c r="B28" s="38" t="s">
        <v>66</v>
      </c>
    </row>
    <row r="29" spans="1:2" ht="15" x14ac:dyDescent="0.25">
      <c r="A29" s="41"/>
      <c r="B29" s="38" t="s">
        <v>67</v>
      </c>
    </row>
    <row r="30" spans="1:2" ht="15" x14ac:dyDescent="0.25">
      <c r="A30" s="41"/>
      <c r="B30" s="38" t="s">
        <v>68</v>
      </c>
    </row>
    <row r="31" spans="1:2" ht="15" x14ac:dyDescent="0.25">
      <c r="A31" s="41"/>
      <c r="B31" s="38" t="s">
        <v>69</v>
      </c>
    </row>
    <row r="32" spans="1:2" ht="15" x14ac:dyDescent="0.25">
      <c r="A32" s="41"/>
      <c r="B32" s="42" t="s">
        <v>34</v>
      </c>
    </row>
    <row r="33" spans="1:2" ht="15" x14ac:dyDescent="0.25">
      <c r="A33" s="41"/>
      <c r="B33" s="38" t="s">
        <v>70</v>
      </c>
    </row>
    <row r="34" spans="1:2" ht="15" x14ac:dyDescent="0.25">
      <c r="A34" s="41"/>
      <c r="B34" s="38" t="s">
        <v>71</v>
      </c>
    </row>
    <row r="35" spans="1:2" ht="15" x14ac:dyDescent="0.25">
      <c r="A35" s="41"/>
      <c r="B35" s="38" t="s">
        <v>72</v>
      </c>
    </row>
    <row r="36" spans="1:2" ht="15" customHeight="1" x14ac:dyDescent="0.25">
      <c r="A36" s="41"/>
      <c r="B36" s="38" t="s">
        <v>73</v>
      </c>
    </row>
    <row r="37" spans="1:2" ht="15" customHeight="1" x14ac:dyDescent="0.25">
      <c r="A37" s="41"/>
      <c r="B37" s="38" t="s">
        <v>74</v>
      </c>
    </row>
    <row r="38" spans="1:2" ht="15" x14ac:dyDescent="0.25">
      <c r="A38" s="41"/>
      <c r="B38" s="38" t="s">
        <v>75</v>
      </c>
    </row>
    <row r="39" spans="1:2" ht="135" x14ac:dyDescent="0.25">
      <c r="A39" s="37" t="s">
        <v>7</v>
      </c>
      <c r="B39" s="38" t="s">
        <v>55</v>
      </c>
    </row>
    <row r="40" spans="1:2" ht="30" x14ac:dyDescent="0.25">
      <c r="A40" s="37" t="s">
        <v>24</v>
      </c>
      <c r="B40" s="38" t="s">
        <v>18</v>
      </c>
    </row>
    <row r="41" spans="1:2" ht="15" x14ac:dyDescent="0.25">
      <c r="A41" s="37" t="s">
        <v>8</v>
      </c>
      <c r="B41" s="38" t="s">
        <v>47</v>
      </c>
    </row>
    <row r="42" spans="1:2" ht="30" x14ac:dyDescent="0.25">
      <c r="A42" s="37" t="s">
        <v>20</v>
      </c>
      <c r="B42" s="38" t="s">
        <v>21</v>
      </c>
    </row>
    <row r="43" spans="1:2" ht="15" x14ac:dyDescent="0.25">
      <c r="A43" s="37" t="s">
        <v>49</v>
      </c>
      <c r="B43" s="38" t="s">
        <v>48</v>
      </c>
    </row>
  </sheetData>
  <mergeCells count="1">
    <mergeCell ref="A1:B1"/>
  </mergeCells>
  <printOptions horizontalCentered="1"/>
  <pageMargins left="0.70866141732283472" right="0.70866141732283472" top="0.74803149606299213" bottom="0.74803149606299213" header="0.31496062992125984" footer="0.31496062992125984"/>
  <pageSetup fitToHeight="0" orientation="landscape" r:id="rId1"/>
  <headerFooter>
    <oddHeader>&amp;L&amp;"Bookman Old Style,Regular"&amp;10Novac Technology Solutions&amp;R&amp;"Bookman Old Style,Regular"&amp;10 Defect Tracker</oddHeader>
    <oddFooter>&amp;L&amp;"Bookman Old Style,Regular"&amp;10Confidential&amp;C&amp;"Bookman Old Style,Regular"&amp;10Template V. No. 1.00
QMS V. No. 5.00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10</vt:i4>
      </vt:variant>
    </vt:vector>
  </HeadingPairs>
  <TitlesOfParts>
    <vt:vector size="13" baseType="lpstr">
      <vt:lpstr>Defect Tracker</vt:lpstr>
      <vt:lpstr>Defect Status</vt:lpstr>
      <vt:lpstr>Guidelines</vt:lpstr>
      <vt:lpstr>Accept</vt:lpstr>
      <vt:lpstr>DefectFrom</vt:lpstr>
      <vt:lpstr>DefectType</vt:lpstr>
      <vt:lpstr>Module</vt:lpstr>
      <vt:lpstr>'Defect Tracker'!Print_Area</vt:lpstr>
      <vt:lpstr>Guidelines!Print_Area</vt:lpstr>
      <vt:lpstr>Priority</vt:lpstr>
      <vt:lpstr>severity</vt:lpstr>
      <vt:lpstr>Stat</vt:lpstr>
      <vt:lpstr>Status</vt:lpstr>
    </vt:vector>
  </TitlesOfParts>
  <Company>SVS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SIT Defect Tracker Template</dc:title>
  <dc:creator>SEPG</dc:creator>
  <cp:lastModifiedBy>Ravi Raj. R</cp:lastModifiedBy>
  <cp:lastPrinted>2014-01-20T09:34:23Z</cp:lastPrinted>
  <dcterms:created xsi:type="dcterms:W3CDTF">2013-01-30T08:23:20Z</dcterms:created>
  <dcterms:modified xsi:type="dcterms:W3CDTF">2025-09-24T10:19:15Z</dcterms:modified>
</cp:coreProperties>
</file>