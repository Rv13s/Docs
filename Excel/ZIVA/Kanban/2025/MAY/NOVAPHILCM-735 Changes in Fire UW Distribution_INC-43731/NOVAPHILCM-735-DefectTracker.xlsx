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MAY\NOVAPHILCM-735 Changes in Fire UW Distribution_INC-43731\"/>
    </mc:Choice>
  </mc:AlternateContent>
  <bookViews>
    <workbookView xWindow="0" yWindow="0" windowWidth="20490" windowHeight="7020"/>
  </bookViews>
  <sheets>
    <sheet name="Defect Tracker" sheetId="2" r:id="rId1"/>
    <sheet name="Defect Status" sheetId="5" r:id="rId2"/>
    <sheet name="Guidelines" sheetId="3" r:id="rId3"/>
  </sheets>
  <definedNames>
    <definedName name="_xlnm._FilterDatabase" localSheetId="0" hidden="1">'Defect Tracker'!$A$6:$T$11</definedName>
    <definedName name="Accept">Guidelines!$IS$37:$IS$37</definedName>
    <definedName name="Code" hidden="1">#REF!</definedName>
    <definedName name="data1" hidden="1">#REF!</definedName>
    <definedName name="data2" hidden="1">#REF!</definedName>
    <definedName name="data3" hidden="1">#REF!</definedName>
    <definedName name="DefectFrom">Guidelines!$IN$37:$IN$38</definedName>
    <definedName name="DefectID">'Defect Tracker'!#REF!</definedName>
    <definedName name="DefectType">Guidelines!$IP$37:$IP$38</definedName>
    <definedName name="Discount" hidden="1">#REF!</definedName>
    <definedName name="display_area_2" hidden="1">#REF!</definedName>
    <definedName name="FCode" hidden="1">#REF!</definedName>
    <definedName name="HiddenRows" hidden="1">#REF!</definedName>
    <definedName name="Module">Guidelines!$IO$37:$IO$38</definedName>
    <definedName name="OrderTable" hidden="1">#REF!</definedName>
    <definedName name="_xlnm.Print_Area" localSheetId="0">'Defect Tracker'!$A$4:$T$11</definedName>
    <definedName name="_xlnm.Print_Area" localSheetId="2">Guidelines!$A$1:$B$39</definedName>
    <definedName name="Priority">Guidelines!$IT$37:$IT$38</definedName>
    <definedName name="ProdForm" hidden="1">#REF!</definedName>
    <definedName name="Product" hidden="1">#REF!</definedName>
    <definedName name="RCArea" hidden="1">#REF!</definedName>
    <definedName name="severity">Guidelines!$IQ$37:$IQ$38</definedName>
    <definedName name="SpecialPrice" hidden="1">#REF!</definedName>
    <definedName name="Stat">Guidelines!$IR$37:$IR$38</definedName>
    <definedName name="Status">Guidelines!$IR$37:$IR$38</definedName>
    <definedName name="tbl_ProdInfo" hidden="1">#REF!</definedName>
  </definedNames>
  <calcPr calcId="162913"/>
</workbook>
</file>

<file path=xl/calcChain.xml><?xml version="1.0" encoding="utf-8"?>
<calcChain xmlns="http://schemas.openxmlformats.org/spreadsheetml/2006/main">
  <c r="D20" i="5" l="1"/>
  <c r="D17" i="5"/>
  <c r="D18" i="5"/>
  <c r="D19" i="5"/>
  <c r="D16" i="5" l="1"/>
  <c r="D6" i="5" l="1"/>
  <c r="D15" i="5"/>
  <c r="D14" i="5"/>
  <c r="D13" i="5"/>
  <c r="D12" i="5"/>
  <c r="D11" i="5"/>
  <c r="D10" i="5"/>
  <c r="D9" i="5"/>
  <c r="D8" i="5"/>
  <c r="D7" i="5"/>
  <c r="G8" i="5" l="1"/>
  <c r="G6" i="5"/>
  <c r="G7" i="5"/>
  <c r="G9" i="5"/>
  <c r="G5" i="5"/>
  <c r="G10" i="5" l="1"/>
</calcChain>
</file>

<file path=xl/comments1.xml><?xml version="1.0" encoding="utf-8"?>
<comments xmlns="http://schemas.openxmlformats.org/spreadsheetml/2006/main">
  <authors>
    <author>baskar s</author>
    <author>Hariganesh</author>
    <author>Sathish Mohan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Defect Id format: First two characters of project name(ER) +Defect no.(D001)
e.g ERD001 , ERD002, ERD003…ERD034 etc..
</t>
        </r>
      </text>
    </comment>
    <comment ref="B6" authorId="1" shapeId="0">
      <text>
        <r>
          <rPr>
            <b/>
            <sz val="9"/>
            <color indexed="81"/>
            <rFont val="Tahoma"/>
            <family val="2"/>
          </rPr>
          <t xml:space="preserve">SEPG:
</t>
        </r>
        <r>
          <rPr>
            <sz val="9"/>
            <color indexed="81"/>
            <rFont val="Tahoma"/>
            <family val="2"/>
          </rPr>
          <t>Select the Defect Type from the Drop Down List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" authorId="2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Fill NA if the Defect type is Unit Testing
</t>
        </r>
      </text>
    </comment>
    <comment ref="F6" authorId="2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Fill NA if the Defect type is Unit Testing</t>
        </r>
      </text>
    </comment>
  </commentList>
</comments>
</file>

<file path=xl/sharedStrings.xml><?xml version="1.0" encoding="utf-8"?>
<sst xmlns="http://schemas.openxmlformats.org/spreadsheetml/2006/main" count="131" uniqueCount="107">
  <si>
    <t>Defect 
ID</t>
  </si>
  <si>
    <t>Defect Logged 
Date</t>
  </si>
  <si>
    <t xml:space="preserve">Module </t>
  </si>
  <si>
    <t>Feature / Screen</t>
  </si>
  <si>
    <t xml:space="preserve">Defect Description </t>
  </si>
  <si>
    <t>Screen Shots Attached</t>
  </si>
  <si>
    <t>Defect Type</t>
  </si>
  <si>
    <t>Status</t>
  </si>
  <si>
    <t>Fixed by</t>
  </si>
  <si>
    <t>Fixed Date</t>
  </si>
  <si>
    <t>Guidelines for using this Document</t>
  </si>
  <si>
    <t>Defect Report</t>
  </si>
  <si>
    <t>Defect  ID</t>
  </si>
  <si>
    <t>Date in dd-mmm-yyyy format in which the defect was logged in the tracker.  In ideal scenario this date should be same as the date in which the defect was identified.</t>
  </si>
  <si>
    <t>Module</t>
  </si>
  <si>
    <t>Defect Description</t>
  </si>
  <si>
    <t>Describe in brief about the identified defect.  If possible we can also mention the way in which the "Defect" can be identified.</t>
  </si>
  <si>
    <t>Defect Severity</t>
  </si>
  <si>
    <t>Mention the name of the person who identified the Defect.  This should typically be the same person who logs the defect</t>
  </si>
  <si>
    <t>Open</t>
  </si>
  <si>
    <t>Defect Closed Date</t>
  </si>
  <si>
    <t>Date in dd/mm/yyyy format in which the defect was finally closed (verified by the Testing Team)</t>
  </si>
  <si>
    <t>Fixed</t>
  </si>
  <si>
    <t>Closed</t>
  </si>
  <si>
    <t>Raised By</t>
  </si>
  <si>
    <t>Requirement ID</t>
  </si>
  <si>
    <t>Requirement ID: Unique ID number which is maintained by the BCG /Client while preparing the Change Request document or Issues respectively.</t>
  </si>
  <si>
    <t>Module Name of the project                                                                                                          For Ex:- System Administration,Investments,Leding,General Accounting etc.</t>
  </si>
  <si>
    <t>Defect 
Closed Date</t>
  </si>
  <si>
    <t>Mention the "Screen Path" in which the "Defect" exists in. This should be the URL of the page where the defect could be identified
Example: Lending&gt;&gt;General&gt;&gt;Masters&gt;&gt;Customer Information&gt;&gt;Martial Status               Mention the name of the Screen in which the Defect is identified
Example: Marital Status</t>
  </si>
  <si>
    <t>Module/Feature  inoperable</t>
  </si>
  <si>
    <t>Mention the Defect "Severity" here.  There are 3 severity types</t>
  </si>
  <si>
    <t>Severity (Critical) Criteria</t>
  </si>
  <si>
    <t>Severity (Major) Criteria</t>
  </si>
  <si>
    <t>Severity (Minor) Criteria</t>
  </si>
  <si>
    <t>Defect Classification</t>
  </si>
  <si>
    <t>Categorize the Defect in any one of the following category.  This activity needs to be populated by the Testing Team
Functional:  Any defect that  does not meet the requirement
Non-Functional: Any defect that does not meet the system aspects
Development Issues: Any defects that does not meet technical aspects
Data:  Defects related to "Data".  This may be improper data, wrong calculation or wrong fetching etc.
Infrastructure:  The defect due to environmental changes</t>
  </si>
  <si>
    <t>Defect Status Summary Report</t>
  </si>
  <si>
    <t>Defect ID</t>
  </si>
  <si>
    <t>Total</t>
  </si>
  <si>
    <t>Deferred</t>
  </si>
  <si>
    <t>SI. No</t>
  </si>
  <si>
    <t>Re-Open</t>
  </si>
  <si>
    <t>Defect type</t>
  </si>
  <si>
    <t>Unit testing or SI testing</t>
  </si>
  <si>
    <t xml:space="preserve">                                                                                                                                 DEFECT TRACKER</t>
  </si>
  <si>
    <t>Sub classification</t>
  </si>
  <si>
    <t>Name of the person who has  fixed the defect</t>
  </si>
  <si>
    <t xml:space="preserve">This column can be used to add any free text with respect to a defect. </t>
  </si>
  <si>
    <t>Remarks</t>
  </si>
  <si>
    <t>Functional</t>
  </si>
  <si>
    <t>Business Logic</t>
  </si>
  <si>
    <t>Requirements</t>
  </si>
  <si>
    <t>Defect Tracker</t>
  </si>
  <si>
    <t>Select the sub classification of the defect based on the defect type and defect classification
1 Non Functional
a) Security
b) Performance (Load Testing &amp; Stress Testing)
c) UI Issue (includes Usability, Cosmetic, Screen Alignment and Compatibility)
d) Time Issue
2 Development Issues
a) Syntax Error
b) Spelling Mistake (Typo) 
c) Unhandled Error (includes No Exception Handling)
3 Functional 
a) Business Logic
b) Business Flow
c) Missing Validation (Data validation)
d) Computational
e) Requirements (Missing and Incorrect)
4 Data
a) Data Integrity
5 Infrastructure
a) Environmental</t>
  </si>
  <si>
    <r>
      <t xml:space="preserve">Status of the Defect has to be updated here from the list of values provided.
</t>
    </r>
    <r>
      <rPr>
        <sz val="10"/>
        <color indexed="10"/>
        <rFont val="Bookman Old Style"/>
        <family val="1"/>
      </rPr>
      <t xml:space="preserve">Open: </t>
    </r>
    <r>
      <rPr>
        <sz val="10"/>
        <rFont val="Bookman Old Style"/>
        <family val="1"/>
      </rPr>
      <t xml:space="preserve">When the defect has been logged in the tracker for the first time
</t>
    </r>
    <r>
      <rPr>
        <sz val="10"/>
        <color indexed="10"/>
        <rFont val="Bookman Old Style"/>
        <family val="1"/>
      </rPr>
      <t>Fixed:</t>
    </r>
    <r>
      <rPr>
        <sz val="10"/>
        <rFont val="Bookman Old Style"/>
        <family val="1"/>
      </rPr>
      <t xml:space="preserve"> When the defect has been addressed by the developer
</t>
    </r>
    <r>
      <rPr>
        <sz val="10"/>
        <color indexed="10"/>
        <rFont val="Bookman Old Style"/>
        <family val="1"/>
      </rPr>
      <t>Reopen</t>
    </r>
    <r>
      <rPr>
        <sz val="10"/>
        <rFont val="Bookman Old Style"/>
        <family val="1"/>
      </rPr>
      <t xml:space="preserve">, Reopen 1`, Reopen 2, Reopen 3:  If any fixed or closed defect are resurfacing (due to changes in some other requirement), then status will be updated until the defect is fixed and closed completely
</t>
    </r>
    <r>
      <rPr>
        <sz val="10"/>
        <color indexed="10"/>
        <rFont val="Bookman Old Style"/>
        <family val="1"/>
      </rPr>
      <t>Deferred</t>
    </r>
    <r>
      <rPr>
        <sz val="10"/>
        <rFont val="Bookman Old Style"/>
        <family val="1"/>
      </rPr>
      <t xml:space="preserve">: When the defect identified by the Tester, but the Client does not want it to be addressed in this release or want to defer the fix to a later time                                                                                                                   </t>
    </r>
    <r>
      <rPr>
        <sz val="10"/>
        <color indexed="10"/>
        <rFont val="Bookman Old Style"/>
        <family val="1"/>
      </rPr>
      <t>Closed</t>
    </r>
    <r>
      <rPr>
        <sz val="10"/>
        <rFont val="Bookman Old Style"/>
        <family val="1"/>
      </rPr>
      <t>: When the defect has been verified for the fix and the fix is fine</t>
    </r>
  </si>
  <si>
    <t>Defect from</t>
  </si>
  <si>
    <t>Application</t>
  </si>
  <si>
    <t>Business Flow</t>
  </si>
  <si>
    <t>Functions not as per Requirement</t>
  </si>
  <si>
    <t>Validation Missing</t>
  </si>
  <si>
    <t>System Inoperable</t>
  </si>
  <si>
    <t>System Hanging</t>
  </si>
  <si>
    <t>Cmd Button not working</t>
  </si>
  <si>
    <t>Load Performance</t>
  </si>
  <si>
    <t>Data Truncation or Getting corrupted</t>
  </si>
  <si>
    <t>Component not working properly</t>
  </si>
  <si>
    <t>Functionality Not implemented properly</t>
  </si>
  <si>
    <t xml:space="preserve">UI Disturbance </t>
  </si>
  <si>
    <t>Required feature is not handled in SRS</t>
  </si>
  <si>
    <t>Module/Feature Not Working as required</t>
  </si>
  <si>
    <t>Will not affect Daily Business</t>
  </si>
  <si>
    <t>Not a show stopper</t>
  </si>
  <si>
    <t>There will be a reasonable workaround</t>
  </si>
  <si>
    <t>Cosmetic Issue</t>
  </si>
  <si>
    <t>Cosmetic defects with user interface</t>
  </si>
  <si>
    <t>SIT</t>
  </si>
  <si>
    <t>Package No. / Build Reference</t>
  </si>
  <si>
    <t>Package/ Build Release Date</t>
  </si>
  <si>
    <t>Package / Build Release Date</t>
  </si>
  <si>
    <t>Unique ID number which is maintained by the development team while releasing the 
Package/Build to testing team.
Fill NA if it is a unit testing defect</t>
  </si>
  <si>
    <t>Date in dd-mmm-yyyy  format in which the Package/Build released by development team to testing 
Fill NA if it is a unit testing defect</t>
  </si>
  <si>
    <r>
      <t xml:space="preserve">The way in which the  "Defect" can be identified.                                                                                     </t>
    </r>
    <r>
      <rPr>
        <sz val="10"/>
        <color indexed="62"/>
        <rFont val="Calibri"/>
        <family val="2"/>
      </rPr>
      <t xml:space="preserve">Package/Build:  "Defects" found after executing the Package/build.                                                                                                  Application: "Defects' identified while doing the regression testing/adhoc testing on application          Unit:"Defects" identified from unit testing                                                                                             </t>
    </r>
  </si>
  <si>
    <t>Feature/Screen</t>
  </si>
  <si>
    <t>Customization ID/Name:</t>
  </si>
  <si>
    <t xml:space="preserve">Provide the Defect ID in this column.  The naming convention for a defect ID is as follows: First four characters of Customization name +Last five are incremental numbers  Ex:STFC00001
</t>
  </si>
  <si>
    <t>SGIP00001</t>
  </si>
  <si>
    <t>SGIP00002</t>
  </si>
  <si>
    <t>SGIP00003</t>
  </si>
  <si>
    <t>SGIP00004</t>
  </si>
  <si>
    <t>SGIP00005</t>
  </si>
  <si>
    <t>SGIP00006</t>
  </si>
  <si>
    <t>SGIP00007</t>
  </si>
  <si>
    <t>SGIP00008</t>
  </si>
  <si>
    <t>SGIP00009</t>
  </si>
  <si>
    <t>SGIP00010</t>
  </si>
  <si>
    <t>SGIP00011</t>
  </si>
  <si>
    <t>SGIP00012</t>
  </si>
  <si>
    <t>SGIP00013</t>
  </si>
  <si>
    <t>SGIP00014</t>
  </si>
  <si>
    <t>SGIP00015</t>
  </si>
  <si>
    <t>Ravi</t>
  </si>
  <si>
    <t>MuthuRaja</t>
  </si>
  <si>
    <t>NOVAPHILCM-735</t>
  </si>
  <si>
    <t>Fire Proposal</t>
  </si>
  <si>
    <t>(10000/11/23/000602- INCLUSION OF ADDITIONAL LOCATIONS ) In existing policy have quota share % has 24.99996 like that , I added one 1 extra location it share % is 25
While clicking save button system throws an error : “Quota Share Percentage should be same for all UW Distribution.”</t>
  </si>
  <si>
    <t>Change the Policy Period , In Endorsement Schedule Content From to Dates are printing as ?????. Policy schedule fonts are not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</si>
</sst>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Arial"/>
      <family val="2"/>
    </font>
    <font>
      <sz val="1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b/>
      <sz val="10"/>
      <color indexed="56"/>
      <name val="Bookman Old Style"/>
      <family val="1"/>
    </font>
    <font>
      <sz val="10"/>
      <color indexed="10"/>
      <name val="Bookman Old Style"/>
      <family val="1"/>
    </font>
    <font>
      <sz val="10"/>
      <color indexed="62"/>
      <name val="Calibri"/>
      <family val="2"/>
    </font>
    <font>
      <b/>
      <sz val="15"/>
      <color theme="3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0"/>
      <name val="Bookman Old Style"/>
      <family val="1"/>
    </font>
    <font>
      <sz val="10"/>
      <color theme="0" tint="-0.249977111117893"/>
      <name val="Bookman Old Style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9847407452621"/>
      </bottom>
      <diagonal/>
    </border>
  </borders>
  <cellStyleXfs count="4">
    <xf numFmtId="0" fontId="0" fillId="0" borderId="0"/>
    <xf numFmtId="0" fontId="11" fillId="0" borderId="9" applyNumberFormat="0" applyFill="0" applyAlignment="0" applyProtection="0"/>
    <xf numFmtId="0" fontId="1" fillId="0" borderId="0"/>
    <xf numFmtId="0" fontId="4" fillId="0" borderId="0"/>
  </cellStyleXfs>
  <cellXfs count="58">
    <xf numFmtId="0" fontId="0" fillId="0" borderId="0" xfId="0"/>
    <xf numFmtId="0" fontId="5" fillId="0" borderId="0" xfId="2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Fill="1" applyBorder="1" applyAlignment="1">
      <alignment horizontal="center" vertical="top" wrapText="1"/>
    </xf>
    <xf numFmtId="164" fontId="6" fillId="0" borderId="1" xfId="0" applyNumberFormat="1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4" borderId="1" xfId="2" applyFont="1" applyFill="1" applyBorder="1"/>
    <xf numFmtId="0" fontId="12" fillId="0" borderId="1" xfId="2" applyFont="1" applyBorder="1" applyAlignment="1">
      <alignment horizontal="center"/>
    </xf>
    <xf numFmtId="0" fontId="6" fillId="5" borderId="1" xfId="2" applyFont="1" applyFill="1" applyBorder="1"/>
    <xf numFmtId="0" fontId="6" fillId="6" borderId="1" xfId="2" applyFont="1" applyFill="1" applyBorder="1"/>
    <xf numFmtId="0" fontId="6" fillId="7" borderId="1" xfId="2" applyFont="1" applyFill="1" applyBorder="1"/>
    <xf numFmtId="0" fontId="6" fillId="8" borderId="1" xfId="2" applyFont="1" applyFill="1" applyBorder="1"/>
    <xf numFmtId="0" fontId="13" fillId="2" borderId="1" xfId="2" applyFont="1" applyFill="1" applyBorder="1"/>
    <xf numFmtId="0" fontId="13" fillId="2" borderId="1" xfId="2" applyFont="1" applyFill="1" applyBorder="1" applyAlignment="1">
      <alignment horizontal="center"/>
    </xf>
    <xf numFmtId="0" fontId="6" fillId="0" borderId="0" xfId="2" applyFont="1"/>
    <xf numFmtId="0" fontId="6" fillId="9" borderId="0" xfId="2" applyFont="1" applyFill="1"/>
    <xf numFmtId="0" fontId="6" fillId="0" borderId="1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top" wrapText="1"/>
    </xf>
    <xf numFmtId="164" fontId="6" fillId="0" borderId="0" xfId="0" applyNumberFormat="1" applyFont="1" applyBorder="1" applyAlignment="1">
      <alignment horizontal="center" vertical="top" wrapText="1"/>
    </xf>
    <xf numFmtId="164" fontId="6" fillId="0" borderId="0" xfId="0" applyNumberFormat="1" applyFont="1" applyBorder="1" applyAlignment="1">
      <alignment wrapText="1"/>
    </xf>
    <xf numFmtId="0" fontId="12" fillId="0" borderId="0" xfId="0" applyFont="1"/>
    <xf numFmtId="0" fontId="14" fillId="10" borderId="5" xfId="1" applyFont="1" applyFill="1" applyBorder="1" applyAlignment="1">
      <alignment vertical="top" wrapText="1"/>
    </xf>
    <xf numFmtId="0" fontId="7" fillId="0" borderId="6" xfId="1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wrapText="1"/>
    </xf>
    <xf numFmtId="0" fontId="6" fillId="0" borderId="6" xfId="0" applyFont="1" applyFill="1" applyBorder="1" applyAlignment="1">
      <alignment horizontal="center" vertical="top" wrapText="1"/>
    </xf>
    <xf numFmtId="164" fontId="6" fillId="0" borderId="6" xfId="0" applyNumberFormat="1" applyFont="1" applyFill="1" applyBorder="1" applyAlignment="1">
      <alignment horizontal="center" vertical="top" wrapText="1"/>
    </xf>
    <xf numFmtId="164" fontId="6" fillId="0" borderId="6" xfId="0" applyNumberFormat="1" applyFont="1" applyFill="1" applyBorder="1" applyAlignment="1">
      <alignment wrapText="1"/>
    </xf>
    <xf numFmtId="0" fontId="6" fillId="0" borderId="7" xfId="0" applyFont="1" applyFill="1" applyBorder="1" applyAlignment="1">
      <alignment wrapText="1"/>
    </xf>
    <xf numFmtId="0" fontId="15" fillId="0" borderId="0" xfId="0" applyFont="1" applyAlignment="1">
      <alignment horizontal="left" vertical="top"/>
    </xf>
    <xf numFmtId="0" fontId="6" fillId="0" borderId="1" xfId="3" applyFont="1" applyBorder="1" applyAlignment="1">
      <alignment horizontal="left" vertical="top" wrapText="1"/>
    </xf>
    <xf numFmtId="0" fontId="6" fillId="0" borderId="1" xfId="3" applyFont="1" applyFill="1" applyBorder="1" applyAlignment="1">
      <alignment horizontal="left" vertical="top" wrapText="1"/>
    </xf>
    <xf numFmtId="0" fontId="6" fillId="0" borderId="4" xfId="3" applyFont="1" applyBorder="1" applyAlignment="1">
      <alignment horizontal="left" vertical="top" wrapText="1"/>
    </xf>
    <xf numFmtId="0" fontId="6" fillId="0" borderId="4" xfId="3" applyFont="1" applyBorder="1" applyAlignment="1">
      <alignment vertical="top" wrapText="1"/>
    </xf>
    <xf numFmtId="0" fontId="6" fillId="0" borderId="8" xfId="3" applyFont="1" applyBorder="1" applyAlignment="1">
      <alignment vertical="top" wrapText="1"/>
    </xf>
    <xf numFmtId="0" fontId="7" fillId="0" borderId="4" xfId="3" applyFont="1" applyBorder="1" applyAlignment="1">
      <alignment vertical="top" wrapText="1"/>
    </xf>
    <xf numFmtId="0" fontId="6" fillId="3" borderId="2" xfId="1" applyFont="1" applyFill="1" applyBorder="1" applyAlignment="1">
      <alignment horizontal="left" vertical="top"/>
    </xf>
    <xf numFmtId="0" fontId="8" fillId="3" borderId="7" xfId="1" applyFont="1" applyFill="1" applyBorder="1" applyAlignment="1">
      <alignment horizontal="left" vertical="top"/>
    </xf>
    <xf numFmtId="0" fontId="0" fillId="0" borderId="1" xfId="0" applyBorder="1"/>
    <xf numFmtId="0" fontId="5" fillId="0" borderId="6" xfId="1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15" fillId="0" borderId="0" xfId="0" quotePrefix="1" applyFont="1" applyAlignment="1">
      <alignment horizontal="left" vertical="top"/>
    </xf>
    <xf numFmtId="14" fontId="6" fillId="0" borderId="2" xfId="0" applyNumberFormat="1" applyFont="1" applyFill="1" applyBorder="1" applyAlignment="1">
      <alignment horizontal="center" vertical="top" wrapText="1"/>
    </xf>
    <xf numFmtId="0" fontId="16" fillId="10" borderId="5" xfId="1" applyFont="1" applyFill="1" applyBorder="1" applyAlignment="1">
      <alignment horizontal="center" vertical="top" wrapText="1"/>
    </xf>
    <xf numFmtId="0" fontId="17" fillId="0" borderId="0" xfId="0" applyFont="1" applyBorder="1" applyAlignment="1">
      <alignment horizontal="right" wrapText="1"/>
    </xf>
    <xf numFmtId="0" fontId="17" fillId="0" borderId="10" xfId="0" applyFont="1" applyBorder="1" applyAlignment="1">
      <alignment horizontal="right" wrapText="1"/>
    </xf>
    <xf numFmtId="0" fontId="16" fillId="10" borderId="1" xfId="2" applyFont="1" applyFill="1" applyBorder="1" applyAlignment="1">
      <alignment horizontal="center" vertical="center"/>
    </xf>
    <xf numFmtId="0" fontId="16" fillId="10" borderId="2" xfId="3" applyFont="1" applyFill="1" applyBorder="1" applyAlignment="1">
      <alignment horizontal="center" vertical="top"/>
    </xf>
    <xf numFmtId="0" fontId="16" fillId="10" borderId="7" xfId="3" applyFont="1" applyFill="1" applyBorder="1" applyAlignment="1">
      <alignment horizontal="center" vertical="top"/>
    </xf>
    <xf numFmtId="0" fontId="0" fillId="0" borderId="1" xfId="0" applyBorder="1" applyAlignment="1">
      <alignment vertical="top"/>
    </xf>
  </cellXfs>
  <cellStyles count="4">
    <cellStyle name="Heading 1" xfId="1" builtinId="16"/>
    <cellStyle name="Normal" xfId="0" builtinId="0"/>
    <cellStyle name="Normal 2" xfId="2"/>
    <cellStyle name="Normal 2 3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0-32CA-4AEB-9845-3D557959FE8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32CA-4AEB-9845-3D557959FE8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32CA-4AEB-9845-3D557959FE87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32CA-4AEB-9845-3D557959FE87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32CA-4AEB-9845-3D557959FE87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32CA-4AEB-9845-3D557959FE87}"/>
              </c:ext>
            </c:extLst>
          </c:dPt>
          <c:cat>
            <c:strRef>
              <c:f>'Defect Status'!$F$5:$F$9</c:f>
              <c:strCache>
                <c:ptCount val="5"/>
                <c:pt idx="0">
                  <c:v>Open</c:v>
                </c:pt>
                <c:pt idx="1">
                  <c:v>Fixed</c:v>
                </c:pt>
                <c:pt idx="2">
                  <c:v>Re-Open</c:v>
                </c:pt>
                <c:pt idx="3">
                  <c:v>Deferred</c:v>
                </c:pt>
                <c:pt idx="4">
                  <c:v>Closed</c:v>
                </c:pt>
              </c:strCache>
            </c:strRef>
          </c:cat>
          <c:val>
            <c:numRef>
              <c:f>'Defect Status'!$G$5:$G$9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CA-4AEB-9845-3D557959F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92481519"/>
        <c:axId val="1"/>
        <c:axId val="0"/>
      </c:bar3DChart>
      <c:catAx>
        <c:axId val="6924815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248151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0</xdr:col>
      <xdr:colOff>1495425</xdr:colOff>
      <xdr:row>1</xdr:row>
      <xdr:rowOff>180975</xdr:rowOff>
    </xdr:to>
    <xdr:pic>
      <xdr:nvPicPr>
        <xdr:cNvPr id="125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4763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3</xdr:row>
      <xdr:rowOff>104775</xdr:rowOff>
    </xdr:from>
    <xdr:to>
      <xdr:col>14</xdr:col>
      <xdr:colOff>523875</xdr:colOff>
      <xdr:row>18</xdr:row>
      <xdr:rowOff>38100</xdr:rowOff>
    </xdr:to>
    <xdr:graphicFrame macro="">
      <xdr:nvGraphicFramePr>
        <xdr:cNvPr id="421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T11"/>
  <sheetViews>
    <sheetView showGridLines="0" tabSelected="1" topLeftCell="J1" zoomScale="85" zoomScaleNormal="85" workbookViewId="0">
      <selection activeCell="H13" sqref="H13"/>
    </sheetView>
  </sheetViews>
  <sheetFormatPr defaultRowHeight="15.75" x14ac:dyDescent="0.3"/>
  <cols>
    <col min="1" max="1" width="22.7109375" style="24" bestFit="1" customWidth="1"/>
    <col min="2" max="2" width="22.7109375" style="24" customWidth="1"/>
    <col min="3" max="3" width="16.140625" style="24" bestFit="1" customWidth="1"/>
    <col min="4" max="4" width="16.140625" style="24" customWidth="1"/>
    <col min="5" max="5" width="16.5703125" style="24" customWidth="1"/>
    <col min="6" max="6" width="14.7109375" style="24" bestFit="1" customWidth="1"/>
    <col min="7" max="7" width="15.85546875" style="24" customWidth="1"/>
    <col min="8" max="8" width="19.85546875" customWidth="1"/>
    <col min="9" max="9" width="25.140625" style="25" bestFit="1" customWidth="1"/>
    <col min="10" max="10" width="61.5703125" style="25" customWidth="1"/>
    <col min="11" max="11" width="24.5703125" style="25" bestFit="1" customWidth="1"/>
    <col min="12" max="13" width="22.28515625" style="25" customWidth="1"/>
    <col min="14" max="14" width="13.28515625" customWidth="1"/>
    <col min="15" max="15" width="14.42578125" style="25" customWidth="1"/>
    <col min="16" max="16" width="16.85546875" style="25" customWidth="1"/>
    <col min="17" max="17" width="16.85546875" style="26" customWidth="1"/>
    <col min="18" max="18" width="15" style="27" bestFit="1" customWidth="1"/>
    <col min="19" max="19" width="13.42578125" style="28" bestFit="1" customWidth="1"/>
    <col min="20" max="20" width="21.5703125" style="25" customWidth="1"/>
    <col min="21" max="21" width="12.7109375" style="29" bestFit="1" customWidth="1"/>
    <col min="22" max="22" width="22.28515625" style="29" bestFit="1" customWidth="1"/>
    <col min="23" max="23" width="14" style="29" customWidth="1"/>
    <col min="24" max="24" width="9.140625" style="29"/>
    <col min="25" max="25" width="11.28515625" style="29" bestFit="1" customWidth="1"/>
    <col min="26" max="28" width="9.140625" style="29"/>
    <col min="29" max="35" width="0" style="29" hidden="1" customWidth="1"/>
    <col min="36" max="237" width="9.140625" style="29"/>
    <col min="238" max="238" width="13" style="29" bestFit="1" customWidth="1"/>
    <col min="239" max="239" width="20.5703125" style="29" bestFit="1" customWidth="1"/>
    <col min="240" max="240" width="23" style="29" customWidth="1"/>
    <col min="241" max="241" width="7.5703125" style="29" bestFit="1" customWidth="1"/>
    <col min="242" max="242" width="9.140625" style="29"/>
    <col min="243" max="243" width="15.140625" style="29" customWidth="1"/>
    <col min="244" max="244" width="15" style="29" customWidth="1"/>
    <col min="245" max="247" width="9.140625" style="29"/>
    <col min="248" max="248" width="22.5703125" style="29" bestFit="1" customWidth="1"/>
    <col min="249" max="249" width="56.28515625" style="29" bestFit="1" customWidth="1"/>
    <col min="250" max="16384" width="9.140625" style="29"/>
  </cols>
  <sheetData>
    <row r="1" spans="1:20" ht="15" customHeight="1" x14ac:dyDescent="0.3">
      <c r="A1" s="52" t="s">
        <v>53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0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15" customHeight="1" x14ac:dyDescent="0.3">
      <c r="H3" s="25"/>
      <c r="N3" s="25"/>
    </row>
    <row r="4" spans="1:20" ht="18.75" customHeight="1" x14ac:dyDescent="0.3">
      <c r="A4" s="51" t="s">
        <v>45</v>
      </c>
      <c r="B4" s="51"/>
      <c r="C4" s="51"/>
      <c r="D4" s="51"/>
      <c r="E4" s="51"/>
      <c r="F4" s="51"/>
      <c r="G4" s="51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0" ht="30" x14ac:dyDescent="0.3">
      <c r="A5" s="48" t="s">
        <v>84</v>
      </c>
      <c r="B5" s="48"/>
      <c r="C5" s="47"/>
      <c r="D5" s="47"/>
      <c r="E5" s="47"/>
      <c r="F5" s="47"/>
      <c r="G5" s="47"/>
      <c r="H5" s="47"/>
      <c r="I5" s="31"/>
      <c r="J5" s="32"/>
      <c r="K5" s="31"/>
      <c r="L5" s="32"/>
      <c r="M5" s="32"/>
      <c r="N5" s="32"/>
      <c r="O5" s="32"/>
      <c r="P5" s="32"/>
      <c r="Q5" s="33"/>
      <c r="R5" s="34"/>
      <c r="S5" s="35"/>
      <c r="T5" s="36"/>
    </row>
    <row r="6" spans="1:20" ht="45" x14ac:dyDescent="0.3">
      <c r="A6" s="10" t="s">
        <v>0</v>
      </c>
      <c r="B6" s="10" t="s">
        <v>6</v>
      </c>
      <c r="C6" s="10" t="s">
        <v>1</v>
      </c>
      <c r="D6" s="10" t="s">
        <v>56</v>
      </c>
      <c r="E6" s="10" t="s">
        <v>77</v>
      </c>
      <c r="F6" s="10" t="s">
        <v>78</v>
      </c>
      <c r="G6" s="10" t="s">
        <v>25</v>
      </c>
      <c r="H6" s="10" t="s">
        <v>2</v>
      </c>
      <c r="I6" s="11" t="s">
        <v>3</v>
      </c>
      <c r="J6" s="10" t="s">
        <v>4</v>
      </c>
      <c r="K6" s="10" t="s">
        <v>5</v>
      </c>
      <c r="L6" s="10" t="s">
        <v>35</v>
      </c>
      <c r="M6" s="10" t="s">
        <v>46</v>
      </c>
      <c r="N6" s="10" t="s">
        <v>17</v>
      </c>
      <c r="O6" s="10" t="s">
        <v>7</v>
      </c>
      <c r="P6" s="10" t="s">
        <v>24</v>
      </c>
      <c r="Q6" s="12" t="s">
        <v>8</v>
      </c>
      <c r="R6" s="12" t="s">
        <v>9</v>
      </c>
      <c r="S6" s="12" t="s">
        <v>28</v>
      </c>
      <c r="T6" s="10" t="s">
        <v>49</v>
      </c>
    </row>
    <row r="7" spans="1:20" ht="90" x14ac:dyDescent="0.3">
      <c r="A7" s="5" t="s">
        <v>86</v>
      </c>
      <c r="B7" s="3" t="s">
        <v>76</v>
      </c>
      <c r="C7" s="50">
        <v>45813</v>
      </c>
      <c r="D7" s="3" t="s">
        <v>57</v>
      </c>
      <c r="E7" s="6"/>
      <c r="F7" s="50">
        <v>45807</v>
      </c>
      <c r="G7" s="5"/>
      <c r="H7" s="46"/>
      <c r="I7" s="4" t="s">
        <v>104</v>
      </c>
      <c r="J7" s="4" t="s">
        <v>105</v>
      </c>
      <c r="K7" s="4"/>
      <c r="L7" s="4" t="s">
        <v>50</v>
      </c>
      <c r="M7" s="57" t="s">
        <v>52</v>
      </c>
      <c r="N7" s="46"/>
      <c r="O7" s="4" t="s">
        <v>22</v>
      </c>
      <c r="P7" s="4" t="s">
        <v>101</v>
      </c>
      <c r="Q7" s="4" t="s">
        <v>102</v>
      </c>
      <c r="R7" s="8">
        <v>45811</v>
      </c>
      <c r="S7" s="8">
        <v>45814</v>
      </c>
      <c r="T7" s="57" t="s">
        <v>103</v>
      </c>
    </row>
    <row r="8" spans="1:20" ht="45" x14ac:dyDescent="0.3">
      <c r="A8" s="5" t="s">
        <v>87</v>
      </c>
      <c r="B8" s="3" t="s">
        <v>76</v>
      </c>
      <c r="C8" s="50">
        <v>45813</v>
      </c>
      <c r="D8" s="3" t="s">
        <v>57</v>
      </c>
      <c r="E8" s="6"/>
      <c r="F8" s="50">
        <v>45807</v>
      </c>
      <c r="G8" s="5"/>
      <c r="H8" s="46"/>
      <c r="I8" s="4" t="s">
        <v>104</v>
      </c>
      <c r="J8" s="4" t="s">
        <v>106</v>
      </c>
      <c r="K8" s="4"/>
      <c r="L8" s="4" t="s">
        <v>50</v>
      </c>
      <c r="M8" s="57" t="s">
        <v>52</v>
      </c>
      <c r="N8" s="46"/>
      <c r="O8" s="4" t="s">
        <v>22</v>
      </c>
      <c r="P8" s="4" t="s">
        <v>101</v>
      </c>
      <c r="Q8" s="4" t="s">
        <v>102</v>
      </c>
      <c r="R8" s="8">
        <v>45820</v>
      </c>
      <c r="S8" s="8">
        <v>45820</v>
      </c>
      <c r="T8" s="57" t="s">
        <v>103</v>
      </c>
    </row>
    <row r="9" spans="1:20" x14ac:dyDescent="0.3">
      <c r="A9" s="5"/>
      <c r="B9" s="3"/>
      <c r="C9" s="5"/>
      <c r="D9" s="3"/>
      <c r="E9" s="6"/>
      <c r="F9" s="7"/>
      <c r="G9" s="5"/>
      <c r="H9" s="46"/>
      <c r="I9" s="23"/>
      <c r="J9" s="4"/>
      <c r="K9" s="4"/>
      <c r="L9" s="4"/>
      <c r="M9" s="46"/>
      <c r="N9" s="46"/>
      <c r="O9" s="4"/>
      <c r="P9" s="4"/>
      <c r="Q9" s="4"/>
      <c r="R9" s="8"/>
      <c r="S9" s="8"/>
      <c r="T9" s="9"/>
    </row>
    <row r="10" spans="1:20" x14ac:dyDescent="0.3">
      <c r="A10" s="5"/>
      <c r="B10" s="3"/>
      <c r="C10" s="5"/>
      <c r="D10" s="3"/>
      <c r="E10" s="6"/>
      <c r="F10" s="7"/>
      <c r="G10" s="5"/>
      <c r="H10" s="46"/>
      <c r="I10" s="23"/>
      <c r="J10" s="4"/>
      <c r="K10" s="4"/>
      <c r="L10" s="4"/>
      <c r="M10" s="46"/>
      <c r="N10" s="46"/>
      <c r="O10" s="4"/>
      <c r="P10" s="4"/>
      <c r="Q10" s="4"/>
      <c r="R10" s="8"/>
      <c r="S10" s="8"/>
      <c r="T10" s="9"/>
    </row>
    <row r="11" spans="1:20" x14ac:dyDescent="0.3">
      <c r="A11" s="5"/>
      <c r="B11" s="3"/>
      <c r="C11" s="5"/>
      <c r="D11" s="3"/>
      <c r="E11" s="6"/>
      <c r="F11" s="7"/>
      <c r="G11" s="5"/>
      <c r="H11" s="46"/>
      <c r="I11" s="23"/>
      <c r="J11" s="4"/>
      <c r="K11" s="4"/>
      <c r="L11" s="4"/>
      <c r="M11" s="46"/>
      <c r="N11" s="46"/>
      <c r="O11" s="4"/>
      <c r="P11" s="4"/>
      <c r="Q11" s="4"/>
      <c r="R11" s="8"/>
      <c r="S11" s="8"/>
      <c r="T11" s="9"/>
    </row>
  </sheetData>
  <mergeCells count="2">
    <mergeCell ref="A4:G4"/>
    <mergeCell ref="A1:T2"/>
  </mergeCells>
  <dataValidations count="5">
    <dataValidation type="list" allowBlank="1" showInputMessage="1" showErrorMessage="1" sqref="L7:L11">
      <formula1>"Functional, Non-Functional, Development Issues, Data, Infrastructure"</formula1>
    </dataValidation>
    <dataValidation type="list" allowBlank="1" showInputMessage="1" showErrorMessage="1" sqref="B7:B11">
      <formula1>"Unit, SIT"</formula1>
    </dataValidation>
    <dataValidation type="list" allowBlank="1" showInputMessage="1" showErrorMessage="1" sqref="O7:O11">
      <formula1>"Open, Fixed, Reopen-1,Reopen-2,Reopen-3, Deferred, Closed"</formula1>
    </dataValidation>
    <dataValidation type="list" allowBlank="1" showInputMessage="1" showErrorMessage="1" sqref="D7:D11">
      <formula1>IF(B7="Unit",#REF!,IF(B7="SIT",#REF!,))</formula1>
    </dataValidation>
    <dataValidation type="list" allowBlank="1" showInputMessage="1" showErrorMessage="1" sqref="M7:M11">
      <formula1>IF(L7="Functional",#REF!,IF(L7="Non-Functional",#REF!,IF(L7="Development Issues",#REF!,IF(L7="Data",#REF!,IF(L7="Infrastructure",#REF!,)))))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28" fitToHeight="0" orientation="landscape" verticalDpi="300" r:id="rId1"/>
  <headerFooter>
    <oddHeader>&amp;L&amp;"Bookman Old Style,Regular"&amp;10Novac Technology Solutions&amp;C&amp;"Bookman Old Style,Regular"&amp;10Defect Tracker &amp;R&amp;10Defect Tracker</oddHeader>
    <oddFooter>&amp;L&amp;"Bookman Old Style,Regular"&amp;10Confidential&amp;C&amp;"Bookman Old Style,Regular"&amp;10Template V. No. 1.00
QMS V. No. 5.00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O20"/>
  <sheetViews>
    <sheetView showGridLines="0" zoomScaleNormal="100" workbookViewId="0">
      <selection activeCell="D17" sqref="D17"/>
    </sheetView>
  </sheetViews>
  <sheetFormatPr defaultRowHeight="15" x14ac:dyDescent="0.3"/>
  <cols>
    <col min="1" max="1" width="6.42578125" style="21" customWidth="1"/>
    <col min="2" max="2" width="9.5703125" style="21" customWidth="1"/>
    <col min="3" max="3" width="12.28515625" style="21" customWidth="1"/>
    <col min="4" max="4" width="12.5703125" style="21" customWidth="1"/>
    <col min="5" max="5" width="9.140625" style="21"/>
    <col min="6" max="6" width="11.42578125" style="21" customWidth="1"/>
    <col min="7" max="16384" width="9.140625" style="21"/>
  </cols>
  <sheetData>
    <row r="3" spans="1:15" x14ac:dyDescent="0.3">
      <c r="A3" s="54" t="s">
        <v>37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5" spans="1:15" ht="15.75" x14ac:dyDescent="0.3">
      <c r="B5" s="2" t="s">
        <v>41</v>
      </c>
      <c r="C5" s="2" t="s">
        <v>38</v>
      </c>
      <c r="D5" s="2" t="s">
        <v>7</v>
      </c>
      <c r="E5" s="1"/>
      <c r="F5" s="13" t="s">
        <v>19</v>
      </c>
      <c r="G5" s="14">
        <f>COUNTIF(D6:D95,F5)</f>
        <v>0</v>
      </c>
    </row>
    <row r="6" spans="1:15" ht="15.75" x14ac:dyDescent="0.3">
      <c r="B6" s="4">
        <v>1</v>
      </c>
      <c r="C6" s="4" t="s">
        <v>86</v>
      </c>
      <c r="D6" s="4" t="str">
        <f>VLOOKUP(C6,'Defect Tracker'!$A$6:$O$11,15,FALSE)</f>
        <v>Fixed</v>
      </c>
      <c r="E6" s="1"/>
      <c r="F6" s="15" t="s">
        <v>22</v>
      </c>
      <c r="G6" s="14">
        <f>COUNTIF(D6:D95,F6)</f>
        <v>2</v>
      </c>
    </row>
    <row r="7" spans="1:15" ht="15.75" x14ac:dyDescent="0.3">
      <c r="B7" s="4">
        <v>2</v>
      </c>
      <c r="C7" s="4" t="s">
        <v>87</v>
      </c>
      <c r="D7" s="4" t="str">
        <f>VLOOKUP(C7,'Defect Tracker'!$A$6:$O$11,15,FALSE)</f>
        <v>Fixed</v>
      </c>
      <c r="E7" s="1"/>
      <c r="F7" s="16" t="s">
        <v>42</v>
      </c>
      <c r="G7" s="14">
        <f>COUNTIF(D6:D95, F7)</f>
        <v>0</v>
      </c>
    </row>
    <row r="8" spans="1:15" ht="15.75" x14ac:dyDescent="0.3">
      <c r="B8" s="4">
        <v>3</v>
      </c>
      <c r="C8" s="4" t="s">
        <v>88</v>
      </c>
      <c r="D8" s="4" t="e">
        <f>VLOOKUP(C8,'Defect Tracker'!$A$6:$O$11,15,FALSE)</f>
        <v>#N/A</v>
      </c>
      <c r="E8" s="1"/>
      <c r="F8" s="17" t="s">
        <v>40</v>
      </c>
      <c r="G8" s="14">
        <f>COUNTIF(D6:D95,F8)</f>
        <v>0</v>
      </c>
    </row>
    <row r="9" spans="1:15" ht="15.75" x14ac:dyDescent="0.3">
      <c r="B9" s="4">
        <v>4</v>
      </c>
      <c r="C9" s="4" t="s">
        <v>89</v>
      </c>
      <c r="D9" s="4" t="e">
        <f>VLOOKUP(C9,'Defect Tracker'!$A$6:$O$11,15,FALSE)</f>
        <v>#N/A</v>
      </c>
      <c r="E9" s="1"/>
      <c r="F9" s="18" t="s">
        <v>23</v>
      </c>
      <c r="G9" s="14">
        <f>COUNTIF(D6:D95,F9)</f>
        <v>0</v>
      </c>
    </row>
    <row r="10" spans="1:15" ht="15.75" x14ac:dyDescent="0.3">
      <c r="B10" s="4">
        <v>5</v>
      </c>
      <c r="C10" s="4" t="s">
        <v>90</v>
      </c>
      <c r="D10" s="4" t="e">
        <f>VLOOKUP(C10,'Defect Tracker'!$A$6:$O$11,15,FALSE)</f>
        <v>#N/A</v>
      </c>
      <c r="E10" s="1"/>
      <c r="F10" s="19" t="s">
        <v>39</v>
      </c>
      <c r="G10" s="20">
        <f>SUM(G5:G9)</f>
        <v>2</v>
      </c>
    </row>
    <row r="11" spans="1:15" ht="15.75" x14ac:dyDescent="0.3">
      <c r="B11" s="4">
        <v>6</v>
      </c>
      <c r="C11" s="4" t="s">
        <v>91</v>
      </c>
      <c r="D11" s="4" t="e">
        <f>VLOOKUP(C11,'Defect Tracker'!$A$6:$O$11,15,FALSE)</f>
        <v>#N/A</v>
      </c>
      <c r="E11" s="1"/>
      <c r="F11" s="1"/>
      <c r="G11" s="1"/>
    </row>
    <row r="12" spans="1:15" ht="15.75" x14ac:dyDescent="0.3">
      <c r="B12" s="4">
        <v>7</v>
      </c>
      <c r="C12" s="4" t="s">
        <v>92</v>
      </c>
      <c r="D12" s="4" t="e">
        <f>VLOOKUP(C12,'Defect Tracker'!$A$6:$O$11,15,FALSE)</f>
        <v>#N/A</v>
      </c>
      <c r="E12" s="1"/>
      <c r="F12" s="1"/>
      <c r="G12" s="1"/>
    </row>
    <row r="13" spans="1:15" ht="15.75" x14ac:dyDescent="0.3">
      <c r="B13" s="4">
        <v>8</v>
      </c>
      <c r="C13" s="4" t="s">
        <v>93</v>
      </c>
      <c r="D13" s="4" t="e">
        <f>VLOOKUP(C13,'Defect Tracker'!$A$6:$O$11,15,FALSE)</f>
        <v>#N/A</v>
      </c>
      <c r="E13" s="1"/>
      <c r="F13" s="1"/>
      <c r="G13" s="1"/>
    </row>
    <row r="14" spans="1:15" ht="15.75" x14ac:dyDescent="0.3">
      <c r="B14" s="4">
        <v>9</v>
      </c>
      <c r="C14" s="4" t="s">
        <v>94</v>
      </c>
      <c r="D14" s="4" t="e">
        <f>VLOOKUP(C14,'Defect Tracker'!$A$6:$O$11,15,FALSE)</f>
        <v>#N/A</v>
      </c>
      <c r="E14" s="1"/>
      <c r="F14" s="1"/>
      <c r="G14" s="1"/>
    </row>
    <row r="15" spans="1:15" ht="15.75" x14ac:dyDescent="0.3">
      <c r="B15" s="4">
        <v>10</v>
      </c>
      <c r="C15" s="4" t="s">
        <v>95</v>
      </c>
      <c r="D15" s="4" t="e">
        <f>VLOOKUP(C15,'Defect Tracker'!$A$6:$O$11,15,FALSE)</f>
        <v>#N/A</v>
      </c>
      <c r="E15" s="1"/>
      <c r="F15" s="1"/>
      <c r="G15" s="1"/>
    </row>
    <row r="16" spans="1:15" ht="15.75" x14ac:dyDescent="0.3">
      <c r="B16" s="4">
        <v>11</v>
      </c>
      <c r="C16" s="4" t="s">
        <v>96</v>
      </c>
      <c r="D16" s="4" t="e">
        <f>VLOOKUP(C16,'Defect Tracker'!$A$6:$O$11,15,FALSE)</f>
        <v>#N/A</v>
      </c>
      <c r="E16" s="1"/>
      <c r="F16" s="1"/>
      <c r="G16" s="1"/>
    </row>
    <row r="17" spans="2:7" ht="15.75" x14ac:dyDescent="0.3">
      <c r="B17" s="4">
        <v>12</v>
      </c>
      <c r="C17" s="4" t="s">
        <v>97</v>
      </c>
      <c r="D17" s="4" t="e">
        <f>VLOOKUP(C17,'Defect Tracker'!$A$6:$O$11,15,FALSE)</f>
        <v>#N/A</v>
      </c>
      <c r="E17" s="1"/>
      <c r="F17" s="1"/>
      <c r="G17" s="1"/>
    </row>
    <row r="18" spans="2:7" ht="15.75" x14ac:dyDescent="0.3">
      <c r="B18" s="4">
        <v>13</v>
      </c>
      <c r="C18" s="4" t="s">
        <v>98</v>
      </c>
      <c r="D18" s="4" t="e">
        <f>VLOOKUP(C18,'Defect Tracker'!$A$6:$O$11,15,FALSE)</f>
        <v>#N/A</v>
      </c>
      <c r="E18" s="1"/>
      <c r="F18" s="1"/>
      <c r="G18" s="1"/>
    </row>
    <row r="19" spans="2:7" x14ac:dyDescent="0.3">
      <c r="B19" s="4">
        <v>14</v>
      </c>
      <c r="C19" s="4" t="s">
        <v>99</v>
      </c>
      <c r="D19" s="4" t="e">
        <f>VLOOKUP(C19,'Defect Tracker'!$A$6:$O$11,15,FALSE)</f>
        <v>#N/A</v>
      </c>
    </row>
    <row r="20" spans="2:7" x14ac:dyDescent="0.3">
      <c r="B20" s="4">
        <v>15</v>
      </c>
      <c r="C20" s="4" t="s">
        <v>100</v>
      </c>
      <c r="D20" s="4" t="e">
        <f>VLOOKUP(C20,'Defect Tracker'!$A$6:$O$11,15,FALSE)</f>
        <v>#N/A</v>
      </c>
      <c r="F20" s="22"/>
    </row>
  </sheetData>
  <mergeCells count="1">
    <mergeCell ref="A3:O3"/>
  </mergeCells>
  <printOptions horizontalCentered="1"/>
  <pageMargins left="0.70866141732283472" right="0.70866141732283472" top="0.74803149606299213" bottom="0.74803149606299213" header="0.31496062992125984" footer="0.31496062992125984"/>
  <pageSetup scale="84" fitToHeight="0" orientation="landscape" r:id="rId1"/>
  <headerFooter>
    <oddHeader>&amp;L&amp;"Bookman Old Style,Regular"&amp;10Novac Technology Solutions&amp;R&amp;"Bookman Old Style,Regular"&amp;10Defect Tracker</oddHeader>
    <oddFooter>&amp;L&amp;"Bookman Old Style,Regular"&amp;10Confidential&amp;C&amp;"Bookman Old Style,Regular"&amp;10Template V. No. 1.00
QMS V. No. 5.00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showGridLines="0" topLeftCell="A28" zoomScaleNormal="100" zoomScaleSheetLayoutView="100" workbookViewId="0">
      <selection activeCell="A43" sqref="A43:IV43"/>
    </sheetView>
  </sheetViews>
  <sheetFormatPr defaultRowHeight="12.75" x14ac:dyDescent="0.25"/>
  <cols>
    <col min="1" max="1" width="23.5703125" style="37" customWidth="1"/>
    <col min="2" max="2" width="88.85546875" style="37" customWidth="1"/>
    <col min="3" max="3" width="12.140625" style="37" customWidth="1"/>
    <col min="4" max="4" width="16.140625" style="37" customWidth="1"/>
    <col min="5" max="5" width="11" style="37" customWidth="1"/>
    <col min="6" max="6" width="14.140625" style="37" customWidth="1"/>
    <col min="7" max="7" width="11.7109375" style="37" customWidth="1"/>
    <col min="8" max="8" width="12.42578125" style="37" customWidth="1"/>
    <col min="9" max="9" width="9.140625" style="37" customWidth="1"/>
    <col min="10" max="240" width="9.140625" style="37"/>
    <col min="241" max="241" width="23" style="37" customWidth="1"/>
    <col min="242" max="247" width="9.140625" style="37"/>
    <col min="248" max="248" width="13.140625" style="37" customWidth="1"/>
    <col min="249" max="249" width="21.28515625" style="37" customWidth="1"/>
    <col min="250" max="250" width="18.5703125" style="37" customWidth="1"/>
    <col min="251" max="16384" width="9.140625" style="37"/>
  </cols>
  <sheetData>
    <row r="1" spans="1:5" ht="15" x14ac:dyDescent="0.25">
      <c r="A1" s="55" t="s">
        <v>10</v>
      </c>
      <c r="B1" s="56"/>
    </row>
    <row r="2" spans="1:5" ht="15" x14ac:dyDescent="0.25">
      <c r="A2" s="44" t="s">
        <v>11</v>
      </c>
      <c r="B2" s="45"/>
    </row>
    <row r="3" spans="1:5" ht="60" x14ac:dyDescent="0.25">
      <c r="A3" s="38" t="s">
        <v>12</v>
      </c>
      <c r="B3" s="39" t="s">
        <v>85</v>
      </c>
      <c r="E3" s="49"/>
    </row>
    <row r="4" spans="1:5" ht="15" x14ac:dyDescent="0.25">
      <c r="A4" s="38" t="s">
        <v>43</v>
      </c>
      <c r="B4" s="39" t="s">
        <v>44</v>
      </c>
    </row>
    <row r="5" spans="1:5" ht="15" customHeight="1" x14ac:dyDescent="0.25">
      <c r="A5" s="38" t="s">
        <v>1</v>
      </c>
      <c r="B5" s="39" t="s">
        <v>13</v>
      </c>
    </row>
    <row r="6" spans="1:5" ht="53.25" x14ac:dyDescent="0.25">
      <c r="A6" s="38" t="s">
        <v>56</v>
      </c>
      <c r="B6" s="39" t="s">
        <v>82</v>
      </c>
    </row>
    <row r="7" spans="1:5" ht="45" x14ac:dyDescent="0.25">
      <c r="A7" s="38" t="s">
        <v>77</v>
      </c>
      <c r="B7" s="39" t="s">
        <v>80</v>
      </c>
    </row>
    <row r="8" spans="1:5" ht="45" x14ac:dyDescent="0.25">
      <c r="A8" s="38" t="s">
        <v>79</v>
      </c>
      <c r="B8" s="39" t="s">
        <v>81</v>
      </c>
    </row>
    <row r="9" spans="1:5" ht="30" x14ac:dyDescent="0.25">
      <c r="A9" s="38" t="s">
        <v>25</v>
      </c>
      <c r="B9" s="39" t="s">
        <v>26</v>
      </c>
    </row>
    <row r="10" spans="1:5" ht="30" x14ac:dyDescent="0.25">
      <c r="A10" s="38" t="s">
        <v>14</v>
      </c>
      <c r="B10" s="39" t="s">
        <v>27</v>
      </c>
    </row>
    <row r="11" spans="1:5" ht="75" x14ac:dyDescent="0.25">
      <c r="A11" s="38" t="s">
        <v>83</v>
      </c>
      <c r="B11" s="39" t="s">
        <v>29</v>
      </c>
    </row>
    <row r="12" spans="1:5" ht="30" x14ac:dyDescent="0.25">
      <c r="A12" s="38" t="s">
        <v>15</v>
      </c>
      <c r="B12" s="39" t="s">
        <v>16</v>
      </c>
    </row>
    <row r="13" spans="1:5" ht="128.25" customHeight="1" x14ac:dyDescent="0.25">
      <c r="A13" s="38" t="s">
        <v>35</v>
      </c>
      <c r="B13" s="39" t="s">
        <v>36</v>
      </c>
    </row>
    <row r="14" spans="1:5" ht="360" x14ac:dyDescent="0.25">
      <c r="A14" s="40" t="s">
        <v>46</v>
      </c>
      <c r="B14" s="39" t="s">
        <v>54</v>
      </c>
    </row>
    <row r="15" spans="1:5" ht="15" x14ac:dyDescent="0.25">
      <c r="A15" s="41" t="s">
        <v>17</v>
      </c>
      <c r="B15" s="39" t="s">
        <v>31</v>
      </c>
    </row>
    <row r="16" spans="1:5" ht="15" x14ac:dyDescent="0.25">
      <c r="A16" s="42"/>
      <c r="B16" s="43" t="s">
        <v>32</v>
      </c>
    </row>
    <row r="17" spans="1:2" ht="15" x14ac:dyDescent="0.25">
      <c r="A17" s="42"/>
      <c r="B17" s="39" t="s">
        <v>51</v>
      </c>
    </row>
    <row r="18" spans="1:2" ht="15" x14ac:dyDescent="0.25">
      <c r="A18" s="42"/>
      <c r="B18" s="39" t="s">
        <v>58</v>
      </c>
    </row>
    <row r="19" spans="1:2" ht="15" x14ac:dyDescent="0.25">
      <c r="A19" s="42"/>
      <c r="B19" s="39" t="s">
        <v>59</v>
      </c>
    </row>
    <row r="20" spans="1:2" ht="15" x14ac:dyDescent="0.25">
      <c r="A20" s="42"/>
      <c r="B20" s="39" t="s">
        <v>60</v>
      </c>
    </row>
    <row r="21" spans="1:2" ht="15" x14ac:dyDescent="0.25">
      <c r="A21" s="42"/>
      <c r="B21" s="39" t="s">
        <v>61</v>
      </c>
    </row>
    <row r="22" spans="1:2" ht="15" x14ac:dyDescent="0.25">
      <c r="A22" s="42"/>
      <c r="B22" s="39" t="s">
        <v>62</v>
      </c>
    </row>
    <row r="23" spans="1:2" ht="15" x14ac:dyDescent="0.25">
      <c r="A23" s="42"/>
      <c r="B23" s="39" t="s">
        <v>63</v>
      </c>
    </row>
    <row r="24" spans="1:2" ht="15" x14ac:dyDescent="0.25">
      <c r="A24" s="42"/>
      <c r="B24" s="43" t="s">
        <v>33</v>
      </c>
    </row>
    <row r="25" spans="1:2" ht="15" x14ac:dyDescent="0.25">
      <c r="A25" s="42"/>
      <c r="B25" s="39" t="s">
        <v>30</v>
      </c>
    </row>
    <row r="26" spans="1:2" ht="15" x14ac:dyDescent="0.25">
      <c r="A26" s="42"/>
      <c r="B26" s="39" t="s">
        <v>64</v>
      </c>
    </row>
    <row r="27" spans="1:2" ht="15" x14ac:dyDescent="0.25">
      <c r="A27" s="42"/>
      <c r="B27" s="39" t="s">
        <v>65</v>
      </c>
    </row>
    <row r="28" spans="1:2" ht="15" x14ac:dyDescent="0.25">
      <c r="A28" s="42"/>
      <c r="B28" s="39" t="s">
        <v>66</v>
      </c>
    </row>
    <row r="29" spans="1:2" ht="15" x14ac:dyDescent="0.25">
      <c r="A29" s="42"/>
      <c r="B29" s="39" t="s">
        <v>67</v>
      </c>
    </row>
    <row r="30" spans="1:2" ht="15" x14ac:dyDescent="0.25">
      <c r="A30" s="42"/>
      <c r="B30" s="39" t="s">
        <v>68</v>
      </c>
    </row>
    <row r="31" spans="1:2" ht="15" x14ac:dyDescent="0.25">
      <c r="A31" s="42"/>
      <c r="B31" s="39" t="s">
        <v>69</v>
      </c>
    </row>
    <row r="32" spans="1:2" ht="15" x14ac:dyDescent="0.25">
      <c r="A32" s="42"/>
      <c r="B32" s="43" t="s">
        <v>34</v>
      </c>
    </row>
    <row r="33" spans="1:2" ht="15" x14ac:dyDescent="0.25">
      <c r="A33" s="42"/>
      <c r="B33" s="39" t="s">
        <v>70</v>
      </c>
    </row>
    <row r="34" spans="1:2" ht="15" x14ac:dyDescent="0.25">
      <c r="A34" s="42"/>
      <c r="B34" s="39" t="s">
        <v>71</v>
      </c>
    </row>
    <row r="35" spans="1:2" ht="15" x14ac:dyDescent="0.25">
      <c r="A35" s="42"/>
      <c r="B35" s="39" t="s">
        <v>72</v>
      </c>
    </row>
    <row r="36" spans="1:2" ht="15" customHeight="1" x14ac:dyDescent="0.25">
      <c r="A36" s="42"/>
      <c r="B36" s="39" t="s">
        <v>73</v>
      </c>
    </row>
    <row r="37" spans="1:2" ht="15" customHeight="1" x14ac:dyDescent="0.25">
      <c r="A37" s="42"/>
      <c r="B37" s="39" t="s">
        <v>74</v>
      </c>
    </row>
    <row r="38" spans="1:2" ht="15" x14ac:dyDescent="0.25">
      <c r="A38" s="42"/>
      <c r="B38" s="39" t="s">
        <v>75</v>
      </c>
    </row>
    <row r="39" spans="1:2" ht="135" x14ac:dyDescent="0.25">
      <c r="A39" s="38" t="s">
        <v>7</v>
      </c>
      <c r="B39" s="39" t="s">
        <v>55</v>
      </c>
    </row>
    <row r="40" spans="1:2" ht="30" x14ac:dyDescent="0.25">
      <c r="A40" s="38" t="s">
        <v>24</v>
      </c>
      <c r="B40" s="39" t="s">
        <v>18</v>
      </c>
    </row>
    <row r="41" spans="1:2" ht="15" x14ac:dyDescent="0.25">
      <c r="A41" s="38" t="s">
        <v>8</v>
      </c>
      <c r="B41" s="39" t="s">
        <v>47</v>
      </c>
    </row>
    <row r="42" spans="1:2" ht="30" x14ac:dyDescent="0.25">
      <c r="A42" s="38" t="s">
        <v>20</v>
      </c>
      <c r="B42" s="39" t="s">
        <v>21</v>
      </c>
    </row>
    <row r="43" spans="1:2" ht="15" x14ac:dyDescent="0.25">
      <c r="A43" s="38" t="s">
        <v>49</v>
      </c>
      <c r="B43" s="39" t="s">
        <v>48</v>
      </c>
    </row>
  </sheetData>
  <mergeCells count="1">
    <mergeCell ref="A1:B1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 Defect Tracker</oddHeader>
    <oddFooter>&amp;L&amp;"Bookman Old Style,Regular"&amp;10Confidential&amp;C&amp;"Bookman Old Style,Regular"&amp;10Template V. No. 1.00
QMS V. No. 5.00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Defect Tracker</vt:lpstr>
      <vt:lpstr>Defect Status</vt:lpstr>
      <vt:lpstr>Guidelines</vt:lpstr>
      <vt:lpstr>Accept</vt:lpstr>
      <vt:lpstr>DefectFrom</vt:lpstr>
      <vt:lpstr>DefectType</vt:lpstr>
      <vt:lpstr>Module</vt:lpstr>
      <vt:lpstr>'Defect Tracker'!Print_Area</vt:lpstr>
      <vt:lpstr>Guidelines!Print_Area</vt:lpstr>
      <vt:lpstr>Priority</vt:lpstr>
      <vt:lpstr>severity</vt:lpstr>
      <vt:lpstr>Stat</vt:lpstr>
      <vt:lpstr>Status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SIT Defect Tracker Template</dc:title>
  <dc:creator>SEPG</dc:creator>
  <cp:lastModifiedBy>Ravi Raj. R</cp:lastModifiedBy>
  <cp:lastPrinted>2014-01-20T09:34:23Z</cp:lastPrinted>
  <dcterms:created xsi:type="dcterms:W3CDTF">2013-01-30T08:23:20Z</dcterms:created>
  <dcterms:modified xsi:type="dcterms:W3CDTF">2025-06-13T06:59:40Z</dcterms:modified>
</cp:coreProperties>
</file>