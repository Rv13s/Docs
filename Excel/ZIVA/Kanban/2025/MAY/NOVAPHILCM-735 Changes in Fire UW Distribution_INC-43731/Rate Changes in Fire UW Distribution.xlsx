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MAY\NOVAPHILCM-735 Changes in Fire UW Distribution_INC-43731\"/>
    </mc:Choice>
  </mc:AlternateContent>
  <bookViews>
    <workbookView xWindow="0" yWindow="0" windowWidth="20490" windowHeight="7620"/>
  </bookViews>
  <sheets>
    <sheet name="Fire 2023 Treaty Bhuvanesh" sheetId="5" r:id="rId1"/>
    <sheet name="Fire 2023 Treaty" sheetId="1" r:id="rId2"/>
    <sheet name="Sheet2" sheetId="4" r:id="rId3"/>
    <sheet name="Fire 2024 Treaty" sheetId="2" r:id="rId4"/>
    <sheet name="Sheet1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6" i="5" l="1"/>
  <c r="B84" i="5"/>
  <c r="U83" i="5"/>
  <c r="T83" i="5"/>
  <c r="R83" i="5"/>
  <c r="P83" i="5"/>
  <c r="N83" i="5"/>
  <c r="K83" i="5"/>
  <c r="J83" i="5"/>
  <c r="O83" i="5" s="1"/>
  <c r="H83" i="5"/>
  <c r="E83" i="5"/>
  <c r="C83" i="5"/>
  <c r="V83" i="5" s="1"/>
  <c r="S82" i="5"/>
  <c r="Q82" i="5"/>
  <c r="R82" i="5" s="1"/>
  <c r="G82" i="5"/>
  <c r="H82" i="5" s="1"/>
  <c r="E82" i="5"/>
  <c r="D82" i="5"/>
  <c r="T82" i="5" s="1"/>
  <c r="U82" i="5" s="1"/>
  <c r="C82" i="5"/>
  <c r="Q81" i="5"/>
  <c r="R81" i="5" s="1"/>
  <c r="G81" i="5"/>
  <c r="H81" i="5" s="1"/>
  <c r="E81" i="5"/>
  <c r="D81" i="5"/>
  <c r="C81" i="5"/>
  <c r="S80" i="5"/>
  <c r="Q80" i="5"/>
  <c r="R80" i="5" s="1"/>
  <c r="G80" i="5"/>
  <c r="H80" i="5" s="1"/>
  <c r="E80" i="5"/>
  <c r="D80" i="5"/>
  <c r="T80" i="5" s="1"/>
  <c r="U80" i="5" s="1"/>
  <c r="C80" i="5"/>
  <c r="B76" i="5"/>
  <c r="U75" i="5"/>
  <c r="T75" i="5"/>
  <c r="S75" i="5"/>
  <c r="R75" i="5"/>
  <c r="G75" i="5"/>
  <c r="E75" i="5"/>
  <c r="C75" i="5"/>
  <c r="V75" i="5" s="1"/>
  <c r="R74" i="5"/>
  <c r="Q74" i="5"/>
  <c r="D74" i="5"/>
  <c r="C74" i="5"/>
  <c r="R73" i="5"/>
  <c r="Q73" i="5"/>
  <c r="D73" i="5"/>
  <c r="C73" i="5"/>
  <c r="R72" i="5"/>
  <c r="Q72" i="5"/>
  <c r="D72" i="5"/>
  <c r="C72" i="5"/>
  <c r="C76" i="5" s="1"/>
  <c r="B68" i="5"/>
  <c r="G67" i="5"/>
  <c r="E67" i="5"/>
  <c r="C67" i="5"/>
  <c r="D66" i="5"/>
  <c r="C66" i="5"/>
  <c r="G65" i="5"/>
  <c r="H65" i="5" s="1"/>
  <c r="E65" i="5"/>
  <c r="D65" i="5"/>
  <c r="J65" i="5" s="1"/>
  <c r="C65" i="5"/>
  <c r="S64" i="5"/>
  <c r="Q64" i="5"/>
  <c r="R64" i="5" s="1"/>
  <c r="G64" i="5"/>
  <c r="H64" i="5" s="1"/>
  <c r="E64" i="5"/>
  <c r="D64" i="5"/>
  <c r="T64" i="5" s="1"/>
  <c r="U64" i="5" s="1"/>
  <c r="C64" i="5"/>
  <c r="B61" i="5"/>
  <c r="G60" i="5"/>
  <c r="E60" i="5"/>
  <c r="C60" i="5"/>
  <c r="D59" i="5"/>
  <c r="C59" i="5"/>
  <c r="D58" i="5"/>
  <c r="C58" i="5"/>
  <c r="D57" i="5"/>
  <c r="C57" i="5"/>
  <c r="C61" i="5" s="1"/>
  <c r="B54" i="5"/>
  <c r="R53" i="5"/>
  <c r="J53" i="5"/>
  <c r="H53" i="5"/>
  <c r="G53" i="5"/>
  <c r="E53" i="5"/>
  <c r="C53" i="5"/>
  <c r="Q52" i="5"/>
  <c r="R52" i="5" s="1"/>
  <c r="G52" i="5"/>
  <c r="H52" i="5" s="1"/>
  <c r="E52" i="5"/>
  <c r="D52" i="5"/>
  <c r="C52" i="5"/>
  <c r="S51" i="5"/>
  <c r="Q51" i="5"/>
  <c r="R51" i="5" s="1"/>
  <c r="G51" i="5"/>
  <c r="H51" i="5" s="1"/>
  <c r="E51" i="5"/>
  <c r="D51" i="5"/>
  <c r="T51" i="5" s="1"/>
  <c r="U51" i="5" s="1"/>
  <c r="C51" i="5"/>
  <c r="Q50" i="5"/>
  <c r="R50" i="5" s="1"/>
  <c r="G50" i="5"/>
  <c r="H50" i="5" s="1"/>
  <c r="E50" i="5"/>
  <c r="D50" i="5"/>
  <c r="Q53" i="5" s="1"/>
  <c r="T53" i="5" s="1"/>
  <c r="U53" i="5" s="1"/>
  <c r="V53" i="5" s="1"/>
  <c r="C50" i="5"/>
  <c r="B45" i="5"/>
  <c r="Q44" i="5"/>
  <c r="R44" i="5" s="1"/>
  <c r="G44" i="5"/>
  <c r="H44" i="5" s="1"/>
  <c r="E44" i="5"/>
  <c r="D44" i="5"/>
  <c r="C44" i="5"/>
  <c r="S43" i="5"/>
  <c r="Q43" i="5"/>
  <c r="R43" i="5" s="1"/>
  <c r="G43" i="5"/>
  <c r="H43" i="5" s="1"/>
  <c r="E43" i="5"/>
  <c r="D43" i="5"/>
  <c r="T43" i="5" s="1"/>
  <c r="U43" i="5" s="1"/>
  <c r="C43" i="5"/>
  <c r="Q42" i="5"/>
  <c r="R42" i="5" s="1"/>
  <c r="G42" i="5"/>
  <c r="H42" i="5" s="1"/>
  <c r="E42" i="5"/>
  <c r="D42" i="5"/>
  <c r="C42" i="5"/>
  <c r="S41" i="5"/>
  <c r="Q41" i="5"/>
  <c r="R41" i="5" s="1"/>
  <c r="G41" i="5"/>
  <c r="H41" i="5" s="1"/>
  <c r="E41" i="5"/>
  <c r="D41" i="5"/>
  <c r="C41" i="5"/>
  <c r="B37" i="5"/>
  <c r="G36" i="5"/>
  <c r="H36" i="5" s="1"/>
  <c r="E36" i="5"/>
  <c r="D36" i="5"/>
  <c r="C36" i="5"/>
  <c r="Q35" i="5"/>
  <c r="R35" i="5" s="1"/>
  <c r="G35" i="5"/>
  <c r="H35" i="5" s="1"/>
  <c r="E35" i="5"/>
  <c r="D35" i="5"/>
  <c r="T35" i="5" s="1"/>
  <c r="U35" i="5" s="1"/>
  <c r="C35" i="5"/>
  <c r="Q34" i="5"/>
  <c r="R34" i="5" s="1"/>
  <c r="G34" i="5"/>
  <c r="H34" i="5" s="1"/>
  <c r="E34" i="5"/>
  <c r="D34" i="5"/>
  <c r="Q36" i="5" s="1"/>
  <c r="R36" i="5" s="1"/>
  <c r="S36" i="5" s="1"/>
  <c r="C34" i="5"/>
  <c r="C37" i="5" s="1"/>
  <c r="B29" i="5"/>
  <c r="Q28" i="5"/>
  <c r="R28" i="5" s="1"/>
  <c r="G28" i="5"/>
  <c r="H28" i="5" s="1"/>
  <c r="E28" i="5"/>
  <c r="D28" i="5"/>
  <c r="T28" i="5" s="1"/>
  <c r="U28" i="5" s="1"/>
  <c r="C28" i="5"/>
  <c r="C29" i="5" s="1"/>
  <c r="B22" i="5"/>
  <c r="Q21" i="5"/>
  <c r="R21" i="5" s="1"/>
  <c r="G21" i="5"/>
  <c r="H21" i="5" s="1"/>
  <c r="E21" i="5"/>
  <c r="D21" i="5"/>
  <c r="T21" i="5" s="1"/>
  <c r="U21" i="5" s="1"/>
  <c r="C21" i="5"/>
  <c r="Q20" i="5"/>
  <c r="R20" i="5" s="1"/>
  <c r="G20" i="5"/>
  <c r="H20" i="5" s="1"/>
  <c r="E20" i="5"/>
  <c r="D20" i="5"/>
  <c r="T20" i="5" s="1"/>
  <c r="U20" i="5" s="1"/>
  <c r="C20" i="5"/>
  <c r="V20" i="5" s="1"/>
  <c r="Q19" i="5"/>
  <c r="R19" i="5" s="1"/>
  <c r="G19" i="5"/>
  <c r="H19" i="5" s="1"/>
  <c r="E19" i="5"/>
  <c r="D19" i="5"/>
  <c r="T19" i="5" s="1"/>
  <c r="U19" i="5" s="1"/>
  <c r="C19" i="5"/>
  <c r="C22" i="5" s="1"/>
  <c r="B14" i="5"/>
  <c r="Q13" i="5"/>
  <c r="R13" i="5" s="1"/>
  <c r="G13" i="5"/>
  <c r="H13" i="5" s="1"/>
  <c r="E13" i="5"/>
  <c r="D13" i="5"/>
  <c r="T13" i="5" s="1"/>
  <c r="U13" i="5" s="1"/>
  <c r="C13" i="5"/>
  <c r="C14" i="5" s="1"/>
  <c r="J41" i="1"/>
  <c r="G41" i="1"/>
  <c r="F41" i="1"/>
  <c r="E41" i="1"/>
  <c r="D25" i="2"/>
  <c r="V21" i="5" l="1"/>
  <c r="S13" i="5"/>
  <c r="S19" i="5"/>
  <c r="S20" i="5"/>
  <c r="S21" i="5"/>
  <c r="S28" i="5"/>
  <c r="S34" i="5"/>
  <c r="V35" i="5"/>
  <c r="S35" i="5"/>
  <c r="T36" i="5"/>
  <c r="U36" i="5" s="1"/>
  <c r="F42" i="5"/>
  <c r="F44" i="5"/>
  <c r="F50" i="5"/>
  <c r="F52" i="5"/>
  <c r="K53" i="5"/>
  <c r="C54" i="5"/>
  <c r="Q59" i="5"/>
  <c r="R59" i="5" s="1"/>
  <c r="Q58" i="5"/>
  <c r="R58" i="5" s="1"/>
  <c r="S58" i="5" s="1"/>
  <c r="Q57" i="5"/>
  <c r="R57" i="5" s="1"/>
  <c r="G57" i="5"/>
  <c r="H57" i="5" s="1"/>
  <c r="E57" i="5"/>
  <c r="F57" i="5" s="1"/>
  <c r="T57" i="5"/>
  <c r="U57" i="5" s="1"/>
  <c r="V57" i="5" s="1"/>
  <c r="G59" i="5"/>
  <c r="H59" i="5" s="1"/>
  <c r="E59" i="5"/>
  <c r="F59" i="5" s="1"/>
  <c r="T59" i="5"/>
  <c r="U59" i="5" s="1"/>
  <c r="V59" i="5" s="1"/>
  <c r="J60" i="5"/>
  <c r="H60" i="5"/>
  <c r="F65" i="5"/>
  <c r="F81" i="5"/>
  <c r="S81" i="5"/>
  <c r="F83" i="5"/>
  <c r="S83" i="5"/>
  <c r="F13" i="5"/>
  <c r="J13" i="5"/>
  <c r="V13" i="5"/>
  <c r="F19" i="5"/>
  <c r="J19" i="5"/>
  <c r="V19" i="5"/>
  <c r="F20" i="5"/>
  <c r="J20" i="5"/>
  <c r="F21" i="5"/>
  <c r="J21" i="5"/>
  <c r="F28" i="5"/>
  <c r="J28" i="5"/>
  <c r="V28" i="5"/>
  <c r="F34" i="5"/>
  <c r="J34" i="5"/>
  <c r="T34" i="5"/>
  <c r="U34" i="5" s="1"/>
  <c r="V34" i="5" s="1"/>
  <c r="F35" i="5"/>
  <c r="J35" i="5"/>
  <c r="V36" i="5"/>
  <c r="F36" i="5"/>
  <c r="C45" i="5"/>
  <c r="F41" i="5"/>
  <c r="T42" i="5"/>
  <c r="U42" i="5" s="1"/>
  <c r="V42" i="5" s="1"/>
  <c r="S42" i="5"/>
  <c r="V43" i="5"/>
  <c r="F43" i="5"/>
  <c r="T44" i="5"/>
  <c r="U44" i="5" s="1"/>
  <c r="V44" i="5" s="1"/>
  <c r="S44" i="5"/>
  <c r="S50" i="5"/>
  <c r="V51" i="5"/>
  <c r="F51" i="5"/>
  <c r="T52" i="5"/>
  <c r="U52" i="5" s="1"/>
  <c r="V52" i="5" s="1"/>
  <c r="S52" i="5"/>
  <c r="S53" i="5"/>
  <c r="F53" i="5"/>
  <c r="J57" i="5"/>
  <c r="G58" i="5"/>
  <c r="E58" i="5"/>
  <c r="F58" i="5" s="1"/>
  <c r="S59" i="5"/>
  <c r="Q60" i="5"/>
  <c r="V64" i="5"/>
  <c r="F64" i="5"/>
  <c r="K65" i="5"/>
  <c r="C68" i="5"/>
  <c r="G72" i="5"/>
  <c r="H72" i="5" s="1"/>
  <c r="E72" i="5"/>
  <c r="F72" i="5" s="1"/>
  <c r="T72" i="5"/>
  <c r="U72" i="5" s="1"/>
  <c r="V72" i="5" s="1"/>
  <c r="J72" i="5"/>
  <c r="G73" i="5"/>
  <c r="H73" i="5" s="1"/>
  <c r="E73" i="5"/>
  <c r="F73" i="5" s="1"/>
  <c r="T73" i="5"/>
  <c r="U73" i="5" s="1"/>
  <c r="V73" i="5" s="1"/>
  <c r="J73" i="5"/>
  <c r="G74" i="5"/>
  <c r="H74" i="5" s="1"/>
  <c r="E74" i="5"/>
  <c r="F74" i="5" s="1"/>
  <c r="T74" i="5"/>
  <c r="U74" i="5" s="1"/>
  <c r="V74" i="5" s="1"/>
  <c r="J74" i="5"/>
  <c r="J36" i="5"/>
  <c r="Q67" i="5"/>
  <c r="Q66" i="5"/>
  <c r="R66" i="5" s="1"/>
  <c r="S66" i="5" s="1"/>
  <c r="Q65" i="5"/>
  <c r="J41" i="5"/>
  <c r="T41" i="5"/>
  <c r="U41" i="5" s="1"/>
  <c r="V41" i="5" s="1"/>
  <c r="J42" i="5"/>
  <c r="J43" i="5"/>
  <c r="J44" i="5"/>
  <c r="J50" i="5"/>
  <c r="T50" i="5"/>
  <c r="U50" i="5" s="1"/>
  <c r="V50" i="5" s="1"/>
  <c r="J51" i="5"/>
  <c r="J52" i="5"/>
  <c r="S57" i="5"/>
  <c r="F60" i="5"/>
  <c r="J64" i="5"/>
  <c r="G66" i="5"/>
  <c r="E66" i="5"/>
  <c r="F66" i="5" s="1"/>
  <c r="T66" i="5"/>
  <c r="U66" i="5" s="1"/>
  <c r="V66" i="5" s="1"/>
  <c r="J67" i="5"/>
  <c r="H67" i="5"/>
  <c r="S73" i="5"/>
  <c r="S74" i="5"/>
  <c r="J75" i="5"/>
  <c r="H75" i="5"/>
  <c r="C84" i="5"/>
  <c r="V80" i="5"/>
  <c r="F80" i="5"/>
  <c r="T81" i="5"/>
  <c r="U81" i="5" s="1"/>
  <c r="V81" i="5" s="1"/>
  <c r="V82" i="5"/>
  <c r="F82" i="5"/>
  <c r="F67" i="5"/>
  <c r="S72" i="5"/>
  <c r="F75" i="5"/>
  <c r="J80" i="5"/>
  <c r="J81" i="5"/>
  <c r="J82" i="5"/>
  <c r="D80" i="1"/>
  <c r="D50" i="1"/>
  <c r="D72" i="1"/>
  <c r="C73" i="1"/>
  <c r="C72" i="1"/>
  <c r="D73" i="1"/>
  <c r="D82" i="1"/>
  <c r="D81" i="1"/>
  <c r="B49" i="3"/>
  <c r="E48" i="3"/>
  <c r="D48" i="3"/>
  <c r="G48" i="3" s="1"/>
  <c r="H48" i="3" s="1"/>
  <c r="C48" i="3"/>
  <c r="E47" i="3"/>
  <c r="D47" i="3"/>
  <c r="C47" i="3"/>
  <c r="D46" i="3"/>
  <c r="E46" i="3" s="1"/>
  <c r="C46" i="3"/>
  <c r="D45" i="3"/>
  <c r="C45" i="3"/>
  <c r="B41" i="3"/>
  <c r="E40" i="3"/>
  <c r="D40" i="3"/>
  <c r="C40" i="3"/>
  <c r="D39" i="3"/>
  <c r="E39" i="3" s="1"/>
  <c r="C39" i="3"/>
  <c r="D38" i="3"/>
  <c r="C38" i="3"/>
  <c r="Q37" i="3"/>
  <c r="R37" i="3" s="1"/>
  <c r="E37" i="3"/>
  <c r="D37" i="3"/>
  <c r="Q46" i="3" s="1"/>
  <c r="R46" i="3" s="1"/>
  <c r="C37" i="3"/>
  <c r="B33" i="3"/>
  <c r="G32" i="3"/>
  <c r="H32" i="3" s="1"/>
  <c r="E32" i="3"/>
  <c r="D32" i="3"/>
  <c r="C32" i="3"/>
  <c r="D31" i="3"/>
  <c r="G31" i="3" s="1"/>
  <c r="H31" i="3" s="1"/>
  <c r="C31" i="3"/>
  <c r="D30" i="3"/>
  <c r="Q31" i="3" s="1"/>
  <c r="R31" i="3" s="1"/>
  <c r="C30" i="3"/>
  <c r="C26" i="3"/>
  <c r="B26" i="3"/>
  <c r="D25" i="3"/>
  <c r="G25" i="3" s="1"/>
  <c r="H25" i="3" s="1"/>
  <c r="C25" i="3"/>
  <c r="C20" i="3"/>
  <c r="B20" i="3"/>
  <c r="D19" i="3"/>
  <c r="Q19" i="3" s="1"/>
  <c r="R19" i="3" s="1"/>
  <c r="C19" i="3"/>
  <c r="D18" i="3"/>
  <c r="Q18" i="3" s="1"/>
  <c r="R18" i="3" s="1"/>
  <c r="C18" i="3"/>
  <c r="D17" i="3"/>
  <c r="C17" i="3"/>
  <c r="C13" i="3"/>
  <c r="B13" i="3"/>
  <c r="D12" i="3"/>
  <c r="C12" i="3"/>
  <c r="B49" i="2"/>
  <c r="D48" i="2"/>
  <c r="E48" i="2" s="1"/>
  <c r="C48" i="2"/>
  <c r="D47" i="2"/>
  <c r="C47" i="2"/>
  <c r="E46" i="2"/>
  <c r="D46" i="2"/>
  <c r="C46" i="2"/>
  <c r="D45" i="2"/>
  <c r="C45" i="2"/>
  <c r="D59" i="1"/>
  <c r="D58" i="1"/>
  <c r="Q59" i="1" s="1"/>
  <c r="R59" i="1" s="1"/>
  <c r="D57" i="1"/>
  <c r="Q60" i="1" s="1"/>
  <c r="T60" i="1" s="1"/>
  <c r="U60" i="1" s="1"/>
  <c r="E60" i="1"/>
  <c r="E59" i="1"/>
  <c r="E58" i="1"/>
  <c r="E57" i="1"/>
  <c r="B61" i="1"/>
  <c r="G60" i="1"/>
  <c r="J60" i="1" s="1"/>
  <c r="C60" i="1"/>
  <c r="G59" i="1"/>
  <c r="H59" i="1" s="1"/>
  <c r="C59" i="1"/>
  <c r="G58" i="1"/>
  <c r="H58" i="1" s="1"/>
  <c r="C58" i="1"/>
  <c r="G57" i="1"/>
  <c r="H57" i="1" s="1"/>
  <c r="C57" i="1"/>
  <c r="C61" i="1" s="1"/>
  <c r="F83" i="1"/>
  <c r="M82" i="5" l="1"/>
  <c r="N82" i="5" s="1"/>
  <c r="O82" i="5"/>
  <c r="P82" i="5" s="1"/>
  <c r="K82" i="5"/>
  <c r="M80" i="5"/>
  <c r="N80" i="5" s="1"/>
  <c r="K80" i="5"/>
  <c r="L80" i="5" s="1"/>
  <c r="L82" i="5"/>
  <c r="I82" i="5"/>
  <c r="K64" i="5"/>
  <c r="M51" i="5"/>
  <c r="N51" i="5" s="1"/>
  <c r="K51" i="5"/>
  <c r="K50" i="5"/>
  <c r="M50" i="5"/>
  <c r="N50" i="5" s="1"/>
  <c r="M43" i="5"/>
  <c r="N43" i="5" s="1"/>
  <c r="K43" i="5"/>
  <c r="R65" i="5"/>
  <c r="S65" i="5" s="1"/>
  <c r="T65" i="5"/>
  <c r="U65" i="5" s="1"/>
  <c r="V65" i="5" s="1"/>
  <c r="T67" i="5"/>
  <c r="U67" i="5" s="1"/>
  <c r="V67" i="5" s="1"/>
  <c r="R67" i="5"/>
  <c r="S67" i="5" s="1"/>
  <c r="M74" i="5"/>
  <c r="N74" i="5" s="1"/>
  <c r="K74" i="5"/>
  <c r="I74" i="5"/>
  <c r="L74" i="5"/>
  <c r="O73" i="5"/>
  <c r="P73" i="5" s="1"/>
  <c r="M73" i="5"/>
  <c r="N73" i="5" s="1"/>
  <c r="K73" i="5"/>
  <c r="I73" i="5"/>
  <c r="L73" i="5"/>
  <c r="M72" i="5"/>
  <c r="N72" i="5" s="1"/>
  <c r="K72" i="5"/>
  <c r="I72" i="5"/>
  <c r="L72" i="5"/>
  <c r="L64" i="5"/>
  <c r="I64" i="5"/>
  <c r="T60" i="5"/>
  <c r="U60" i="5" s="1"/>
  <c r="V60" i="5" s="1"/>
  <c r="R60" i="5"/>
  <c r="S60" i="5" s="1"/>
  <c r="K57" i="5"/>
  <c r="L43" i="5"/>
  <c r="I43" i="5"/>
  <c r="I41" i="5"/>
  <c r="I35" i="5"/>
  <c r="L34" i="5"/>
  <c r="I34" i="5"/>
  <c r="O28" i="5"/>
  <c r="P28" i="5" s="1"/>
  <c r="M28" i="5"/>
  <c r="N28" i="5" s="1"/>
  <c r="K28" i="5"/>
  <c r="M21" i="5"/>
  <c r="N21" i="5" s="1"/>
  <c r="K21" i="5"/>
  <c r="O20" i="5"/>
  <c r="P20" i="5" s="1"/>
  <c r="M20" i="5"/>
  <c r="N20" i="5" s="1"/>
  <c r="K20" i="5"/>
  <c r="I19" i="5"/>
  <c r="M13" i="5"/>
  <c r="N13" i="5" s="1"/>
  <c r="K13" i="5"/>
  <c r="L65" i="5"/>
  <c r="I65" i="5"/>
  <c r="K60" i="5"/>
  <c r="L60" i="5" s="1"/>
  <c r="M53" i="5"/>
  <c r="I52" i="5"/>
  <c r="L50" i="5"/>
  <c r="I50" i="5"/>
  <c r="L44" i="5"/>
  <c r="I44" i="5"/>
  <c r="I42" i="5"/>
  <c r="K81" i="5"/>
  <c r="M81" i="5"/>
  <c r="N81" i="5" s="1"/>
  <c r="I75" i="5"/>
  <c r="I67" i="5"/>
  <c r="I80" i="5"/>
  <c r="O75" i="5"/>
  <c r="P75" i="5" s="1"/>
  <c r="K75" i="5"/>
  <c r="L75" i="5" s="1"/>
  <c r="N75" i="5"/>
  <c r="O67" i="5"/>
  <c r="P67" i="5" s="1"/>
  <c r="K67" i="5"/>
  <c r="L67" i="5" s="1"/>
  <c r="N67" i="5"/>
  <c r="H66" i="5"/>
  <c r="I66" i="5" s="1"/>
  <c r="J66" i="5"/>
  <c r="I60" i="5"/>
  <c r="K52" i="5"/>
  <c r="L52" i="5" s="1"/>
  <c r="M52" i="5"/>
  <c r="N52" i="5" s="1"/>
  <c r="K44" i="5"/>
  <c r="M44" i="5"/>
  <c r="N44" i="5" s="1"/>
  <c r="K42" i="5"/>
  <c r="L42" i="5" s="1"/>
  <c r="M42" i="5"/>
  <c r="N42" i="5" s="1"/>
  <c r="M41" i="5"/>
  <c r="N41" i="5" s="1"/>
  <c r="K41" i="5"/>
  <c r="L41" i="5" s="1"/>
  <c r="M36" i="5"/>
  <c r="N36" i="5" s="1"/>
  <c r="O36" i="5"/>
  <c r="P36" i="5" s="1"/>
  <c r="K36" i="5"/>
  <c r="J59" i="5"/>
  <c r="T58" i="5"/>
  <c r="U58" i="5" s="1"/>
  <c r="V58" i="5" s="1"/>
  <c r="H58" i="5"/>
  <c r="I58" i="5" s="1"/>
  <c r="J58" i="5"/>
  <c r="I53" i="5"/>
  <c r="L53" i="5"/>
  <c r="L51" i="5"/>
  <c r="I51" i="5"/>
  <c r="L36" i="5"/>
  <c r="I36" i="5"/>
  <c r="O35" i="5"/>
  <c r="P35" i="5" s="1"/>
  <c r="M35" i="5"/>
  <c r="N35" i="5" s="1"/>
  <c r="K35" i="5"/>
  <c r="L35" i="5" s="1"/>
  <c r="M34" i="5"/>
  <c r="N34" i="5" s="1"/>
  <c r="K34" i="5"/>
  <c r="L28" i="5"/>
  <c r="I28" i="5"/>
  <c r="L21" i="5"/>
  <c r="I21" i="5"/>
  <c r="L20" i="5"/>
  <c r="I20" i="5"/>
  <c r="O19" i="5"/>
  <c r="P19" i="5" s="1"/>
  <c r="M19" i="5"/>
  <c r="N19" i="5" s="1"/>
  <c r="K19" i="5"/>
  <c r="L19" i="5" s="1"/>
  <c r="L13" i="5"/>
  <c r="I13" i="5"/>
  <c r="L83" i="5"/>
  <c r="I83" i="5"/>
  <c r="L81" i="5"/>
  <c r="I81" i="5"/>
  <c r="I59" i="5"/>
  <c r="I57" i="5"/>
  <c r="L57" i="5"/>
  <c r="G45" i="2"/>
  <c r="H45" i="2" s="1"/>
  <c r="G47" i="2"/>
  <c r="H47" i="2" s="1"/>
  <c r="E45" i="2"/>
  <c r="G46" i="2"/>
  <c r="H46" i="2" s="1"/>
  <c r="E47" i="2"/>
  <c r="G48" i="2"/>
  <c r="H48" i="2" s="1"/>
  <c r="C49" i="2"/>
  <c r="G38" i="3"/>
  <c r="H38" i="3" s="1"/>
  <c r="G39" i="3"/>
  <c r="H39" i="3" s="1"/>
  <c r="Q40" i="3"/>
  <c r="R40" i="3" s="1"/>
  <c r="S40" i="3" s="1"/>
  <c r="G45" i="3"/>
  <c r="H45" i="3" s="1"/>
  <c r="G46" i="3"/>
  <c r="H46" i="3" s="1"/>
  <c r="Q47" i="3"/>
  <c r="R47" i="3" s="1"/>
  <c r="S47" i="3" s="1"/>
  <c r="Q48" i="3"/>
  <c r="R48" i="3" s="1"/>
  <c r="G37" i="3"/>
  <c r="H37" i="3" s="1"/>
  <c r="E38" i="3"/>
  <c r="Q38" i="3"/>
  <c r="R38" i="3" s="1"/>
  <c r="S38" i="3" s="1"/>
  <c r="Q39" i="3"/>
  <c r="R39" i="3" s="1"/>
  <c r="T40" i="3"/>
  <c r="U40" i="3" s="1"/>
  <c r="V40" i="3" s="1"/>
  <c r="G40" i="3"/>
  <c r="H40" i="3" s="1"/>
  <c r="E45" i="3"/>
  <c r="F45" i="3" s="1"/>
  <c r="Q45" i="3"/>
  <c r="R45" i="3" s="1"/>
  <c r="S45" i="3" s="1"/>
  <c r="T47" i="3"/>
  <c r="U47" i="3" s="1"/>
  <c r="G47" i="3"/>
  <c r="H47" i="3" s="1"/>
  <c r="Q12" i="3"/>
  <c r="R12" i="3" s="1"/>
  <c r="G12" i="3"/>
  <c r="H12" i="3" s="1"/>
  <c r="E12" i="3"/>
  <c r="F12" i="3" s="1"/>
  <c r="T12" i="3"/>
  <c r="U12" i="3" s="1"/>
  <c r="V12" i="3" s="1"/>
  <c r="S12" i="3"/>
  <c r="Q17" i="3"/>
  <c r="R17" i="3" s="1"/>
  <c r="S17" i="3" s="1"/>
  <c r="G17" i="3"/>
  <c r="E17" i="3"/>
  <c r="F17" i="3" s="1"/>
  <c r="S18" i="3"/>
  <c r="S19" i="3"/>
  <c r="T18" i="3"/>
  <c r="U18" i="3" s="1"/>
  <c r="V18" i="3" s="1"/>
  <c r="T19" i="3"/>
  <c r="U19" i="3" s="1"/>
  <c r="V19" i="3" s="1"/>
  <c r="J25" i="3"/>
  <c r="J31" i="3"/>
  <c r="T31" i="3"/>
  <c r="U31" i="3" s="1"/>
  <c r="F32" i="3"/>
  <c r="Q32" i="3"/>
  <c r="R32" i="3" s="1"/>
  <c r="C41" i="3"/>
  <c r="F37" i="3"/>
  <c r="F39" i="3"/>
  <c r="F46" i="3"/>
  <c r="F48" i="3"/>
  <c r="E18" i="3"/>
  <c r="F18" i="3" s="1"/>
  <c r="G18" i="3"/>
  <c r="H18" i="3" s="1"/>
  <c r="E19" i="3"/>
  <c r="F19" i="3" s="1"/>
  <c r="G19" i="3"/>
  <c r="H19" i="3" s="1"/>
  <c r="E25" i="3"/>
  <c r="F25" i="3" s="1"/>
  <c r="Q25" i="3"/>
  <c r="R25" i="3" s="1"/>
  <c r="S25" i="3" s="1"/>
  <c r="C33" i="3"/>
  <c r="E30" i="3"/>
  <c r="F30" i="3" s="1"/>
  <c r="G30" i="3"/>
  <c r="H30" i="3" s="1"/>
  <c r="Q30" i="3"/>
  <c r="R30" i="3" s="1"/>
  <c r="S30" i="3" s="1"/>
  <c r="V31" i="3"/>
  <c r="E31" i="3"/>
  <c r="F31" i="3" s="1"/>
  <c r="S31" i="3"/>
  <c r="T32" i="3"/>
  <c r="U32" i="3" s="1"/>
  <c r="V32" i="3" s="1"/>
  <c r="S32" i="3"/>
  <c r="T37" i="3"/>
  <c r="U37" i="3" s="1"/>
  <c r="V37" i="3" s="1"/>
  <c r="S37" i="3"/>
  <c r="F38" i="3"/>
  <c r="T39" i="3"/>
  <c r="U39" i="3" s="1"/>
  <c r="V39" i="3" s="1"/>
  <c r="S39" i="3"/>
  <c r="F40" i="3"/>
  <c r="C49" i="3"/>
  <c r="T46" i="3"/>
  <c r="U46" i="3" s="1"/>
  <c r="V46" i="3" s="1"/>
  <c r="S46" i="3"/>
  <c r="V47" i="3"/>
  <c r="F47" i="3"/>
  <c r="T48" i="3"/>
  <c r="U48" i="3" s="1"/>
  <c r="V48" i="3" s="1"/>
  <c r="S48" i="3"/>
  <c r="J32" i="3"/>
  <c r="J38" i="3"/>
  <c r="J39" i="3"/>
  <c r="J40" i="3"/>
  <c r="J46" i="3"/>
  <c r="J47" i="3"/>
  <c r="J48" i="3"/>
  <c r="F45" i="2"/>
  <c r="J45" i="2"/>
  <c r="F46" i="2"/>
  <c r="F47" i="2"/>
  <c r="F48" i="2"/>
  <c r="S59" i="1"/>
  <c r="Q57" i="1"/>
  <c r="R57" i="1" s="1"/>
  <c r="S58" i="1"/>
  <c r="Q58" i="1"/>
  <c r="R58" i="1" s="1"/>
  <c r="V60" i="1"/>
  <c r="K60" i="1"/>
  <c r="J57" i="1"/>
  <c r="T57" i="1"/>
  <c r="U57" i="1" s="1"/>
  <c r="V57" i="1" s="1"/>
  <c r="J58" i="1"/>
  <c r="T58" i="1"/>
  <c r="U58" i="1" s="1"/>
  <c r="V58" i="1" s="1"/>
  <c r="J59" i="1"/>
  <c r="T59" i="1"/>
  <c r="U59" i="1" s="1"/>
  <c r="V59" i="1" s="1"/>
  <c r="F57" i="1"/>
  <c r="S57" i="1"/>
  <c r="F58" i="1"/>
  <c r="F59" i="1"/>
  <c r="F60" i="1"/>
  <c r="H60" i="1"/>
  <c r="R60" i="1"/>
  <c r="S60" i="1" s="1"/>
  <c r="J53" i="1"/>
  <c r="H53" i="1"/>
  <c r="G53" i="1"/>
  <c r="E53" i="1"/>
  <c r="C53" i="1"/>
  <c r="B41" i="2"/>
  <c r="D40" i="2"/>
  <c r="G40" i="2" s="1"/>
  <c r="H40" i="2" s="1"/>
  <c r="C40" i="2"/>
  <c r="D39" i="2"/>
  <c r="C39" i="2"/>
  <c r="E38" i="2"/>
  <c r="D38" i="2"/>
  <c r="G38" i="2" s="1"/>
  <c r="H38" i="2" s="1"/>
  <c r="C38" i="2"/>
  <c r="D37" i="2"/>
  <c r="C37" i="2"/>
  <c r="B33" i="2"/>
  <c r="D32" i="2"/>
  <c r="C32" i="2"/>
  <c r="E31" i="2"/>
  <c r="D31" i="2"/>
  <c r="C31" i="2"/>
  <c r="D30" i="2"/>
  <c r="C30" i="2"/>
  <c r="B26" i="2"/>
  <c r="E25" i="2"/>
  <c r="G25" i="2"/>
  <c r="H25" i="2" s="1"/>
  <c r="C25" i="2"/>
  <c r="B20" i="2"/>
  <c r="E19" i="2"/>
  <c r="D19" i="2"/>
  <c r="C19" i="2"/>
  <c r="E18" i="2"/>
  <c r="D18" i="2"/>
  <c r="Q18" i="2" s="1"/>
  <c r="R18" i="2" s="1"/>
  <c r="C18" i="2"/>
  <c r="D17" i="2"/>
  <c r="Q17" i="2" s="1"/>
  <c r="R17" i="2" s="1"/>
  <c r="C17" i="2"/>
  <c r="B13" i="2"/>
  <c r="D12" i="2"/>
  <c r="Q12" i="2" s="1"/>
  <c r="R12" i="2" s="1"/>
  <c r="C12" i="2"/>
  <c r="S12" i="2" s="1"/>
  <c r="B84" i="1"/>
  <c r="T83" i="1"/>
  <c r="U83" i="1" s="1"/>
  <c r="R83" i="1"/>
  <c r="J83" i="1"/>
  <c r="N83" i="1" s="1"/>
  <c r="H83" i="1"/>
  <c r="E83" i="1"/>
  <c r="C83" i="1"/>
  <c r="S83" i="1" s="1"/>
  <c r="Q82" i="1"/>
  <c r="R82" i="1" s="1"/>
  <c r="T82" i="1"/>
  <c r="U82" i="1" s="1"/>
  <c r="C82" i="1"/>
  <c r="Q81" i="1"/>
  <c r="R81" i="1" s="1"/>
  <c r="T81" i="1"/>
  <c r="U81" i="1" s="1"/>
  <c r="C81" i="1"/>
  <c r="S80" i="1"/>
  <c r="Q80" i="1"/>
  <c r="R80" i="1" s="1"/>
  <c r="C80" i="1"/>
  <c r="B76" i="1"/>
  <c r="T75" i="1"/>
  <c r="U75" i="1" s="1"/>
  <c r="R75" i="1"/>
  <c r="J75" i="1"/>
  <c r="O75" i="1" s="1"/>
  <c r="P75" i="1" s="1"/>
  <c r="H75" i="1"/>
  <c r="G75" i="1"/>
  <c r="E75" i="1"/>
  <c r="C75" i="1"/>
  <c r="V75" i="1" s="1"/>
  <c r="Q74" i="1"/>
  <c r="R74" i="1" s="1"/>
  <c r="D74" i="1"/>
  <c r="E74" i="1" s="1"/>
  <c r="C74" i="1"/>
  <c r="S74" i="1" s="1"/>
  <c r="Q73" i="1"/>
  <c r="R73" i="1" s="1"/>
  <c r="T73" i="1"/>
  <c r="U73" i="1" s="1"/>
  <c r="S73" i="1"/>
  <c r="Q72" i="1"/>
  <c r="R72" i="1" s="1"/>
  <c r="E72" i="1"/>
  <c r="C76" i="1"/>
  <c r="B68" i="1"/>
  <c r="J67" i="1"/>
  <c r="O67" i="1" s="1"/>
  <c r="P67" i="1" s="1"/>
  <c r="H67" i="1"/>
  <c r="G67" i="1"/>
  <c r="E67" i="1"/>
  <c r="C67" i="1"/>
  <c r="D66" i="1"/>
  <c r="G66" i="1" s="1"/>
  <c r="H66" i="1" s="1"/>
  <c r="C66" i="1"/>
  <c r="D65" i="1"/>
  <c r="G65" i="1" s="1"/>
  <c r="H65" i="1" s="1"/>
  <c r="C65" i="1"/>
  <c r="D64" i="1"/>
  <c r="G64" i="1" s="1"/>
  <c r="H64" i="1" s="1"/>
  <c r="C64" i="1"/>
  <c r="B54" i="1"/>
  <c r="D52" i="1"/>
  <c r="C52" i="1"/>
  <c r="D51" i="1"/>
  <c r="C51" i="1"/>
  <c r="C50" i="1"/>
  <c r="B45" i="1"/>
  <c r="D44" i="1"/>
  <c r="C44" i="1"/>
  <c r="D43" i="1"/>
  <c r="C43" i="1"/>
  <c r="D42" i="1"/>
  <c r="C42" i="1"/>
  <c r="D41" i="1"/>
  <c r="Q67" i="1" s="1"/>
  <c r="C41" i="1"/>
  <c r="C45" i="1" s="1"/>
  <c r="B37" i="1"/>
  <c r="D36" i="1"/>
  <c r="C36" i="1"/>
  <c r="D35" i="1"/>
  <c r="C35" i="1"/>
  <c r="Q34" i="1"/>
  <c r="R34" i="1" s="1"/>
  <c r="G34" i="1"/>
  <c r="H34" i="1" s="1"/>
  <c r="E34" i="1"/>
  <c r="D34" i="1"/>
  <c r="C34" i="1"/>
  <c r="B29" i="1"/>
  <c r="Q28" i="1"/>
  <c r="R28" i="1" s="1"/>
  <c r="G28" i="1"/>
  <c r="H28" i="1" s="1"/>
  <c r="E28" i="1"/>
  <c r="D28" i="1"/>
  <c r="T28" i="1" s="1"/>
  <c r="U28" i="1" s="1"/>
  <c r="C28" i="1"/>
  <c r="C29" i="1" s="1"/>
  <c r="B22" i="1"/>
  <c r="Q21" i="1"/>
  <c r="R21" i="1" s="1"/>
  <c r="G21" i="1"/>
  <c r="H21" i="1" s="1"/>
  <c r="E21" i="1"/>
  <c r="D21" i="1"/>
  <c r="T21" i="1" s="1"/>
  <c r="U21" i="1" s="1"/>
  <c r="C21" i="1"/>
  <c r="Q20" i="1"/>
  <c r="R20" i="1" s="1"/>
  <c r="G20" i="1"/>
  <c r="H20" i="1" s="1"/>
  <c r="E20" i="1"/>
  <c r="D20" i="1"/>
  <c r="T20" i="1" s="1"/>
  <c r="U20" i="1" s="1"/>
  <c r="C20" i="1"/>
  <c r="V20" i="1" s="1"/>
  <c r="Q19" i="1"/>
  <c r="R19" i="1" s="1"/>
  <c r="G19" i="1"/>
  <c r="H19" i="1" s="1"/>
  <c r="E19" i="1"/>
  <c r="D19" i="1"/>
  <c r="T19" i="1" s="1"/>
  <c r="U19" i="1" s="1"/>
  <c r="C19" i="1"/>
  <c r="B14" i="1"/>
  <c r="Q13" i="1"/>
  <c r="R13" i="1" s="1"/>
  <c r="G13" i="1"/>
  <c r="H13" i="1" s="1"/>
  <c r="E13" i="1"/>
  <c r="D13" i="1"/>
  <c r="T13" i="1" s="1"/>
  <c r="U13" i="1" s="1"/>
  <c r="C13" i="1"/>
  <c r="C14" i="1" s="1"/>
  <c r="M59" i="5" l="1"/>
  <c r="N59" i="5" s="1"/>
  <c r="K59" i="5"/>
  <c r="L59" i="5" s="1"/>
  <c r="O44" i="5"/>
  <c r="P44" i="5" s="1"/>
  <c r="N66" i="5"/>
  <c r="K66" i="5"/>
  <c r="L66" i="5" s="1"/>
  <c r="O81" i="5"/>
  <c r="P81" i="5" s="1"/>
  <c r="M60" i="5"/>
  <c r="M57" i="5"/>
  <c r="M65" i="5"/>
  <c r="O34" i="5"/>
  <c r="P34" i="5" s="1"/>
  <c r="M58" i="5"/>
  <c r="N58" i="5" s="1"/>
  <c r="K58" i="5"/>
  <c r="L58" i="5" s="1"/>
  <c r="O41" i="5"/>
  <c r="P41" i="5" s="1"/>
  <c r="O42" i="5"/>
  <c r="P42" i="5" s="1"/>
  <c r="O52" i="5"/>
  <c r="P52" i="5" s="1"/>
  <c r="N53" i="5"/>
  <c r="O53" i="5"/>
  <c r="P53" i="5" s="1"/>
  <c r="O13" i="5"/>
  <c r="P13" i="5" s="1"/>
  <c r="O21" i="5"/>
  <c r="P21" i="5" s="1"/>
  <c r="O72" i="5"/>
  <c r="P72" i="5" s="1"/>
  <c r="O74" i="5"/>
  <c r="P74" i="5" s="1"/>
  <c r="O43" i="5"/>
  <c r="P43" i="5" s="1"/>
  <c r="O50" i="5"/>
  <c r="P50" i="5" s="1"/>
  <c r="O51" i="5"/>
  <c r="P51" i="5" s="1"/>
  <c r="M64" i="5"/>
  <c r="O80" i="5"/>
  <c r="P80" i="5" s="1"/>
  <c r="E66" i="1"/>
  <c r="E40" i="2"/>
  <c r="J48" i="2"/>
  <c r="K48" i="2" s="1"/>
  <c r="L48" i="2" s="1"/>
  <c r="J47" i="2"/>
  <c r="J46" i="2"/>
  <c r="M47" i="2" s="1"/>
  <c r="G30" i="2"/>
  <c r="H30" i="2" s="1"/>
  <c r="Q31" i="2"/>
  <c r="R31" i="2" s="1"/>
  <c r="S31" i="2" s="1"/>
  <c r="G32" i="2"/>
  <c r="H32" i="2" s="1"/>
  <c r="Q25" i="2"/>
  <c r="R25" i="2" s="1"/>
  <c r="S25" i="2" s="1"/>
  <c r="E30" i="2"/>
  <c r="Q30" i="2"/>
  <c r="R30" i="2" s="1"/>
  <c r="S30" i="2" s="1"/>
  <c r="G31" i="2"/>
  <c r="H31" i="2" s="1"/>
  <c r="E32" i="2"/>
  <c r="F32" i="2" s="1"/>
  <c r="Q32" i="2"/>
  <c r="R32" i="2" s="1"/>
  <c r="S32" i="2" s="1"/>
  <c r="Q48" i="2"/>
  <c r="Q47" i="2"/>
  <c r="Q45" i="2"/>
  <c r="Q46" i="2"/>
  <c r="G37" i="2"/>
  <c r="H37" i="2" s="1"/>
  <c r="Q38" i="2"/>
  <c r="R38" i="2" s="1"/>
  <c r="S38" i="2" s="1"/>
  <c r="G39" i="2"/>
  <c r="H39" i="2" s="1"/>
  <c r="Q40" i="2"/>
  <c r="R40" i="2" s="1"/>
  <c r="E37" i="2"/>
  <c r="Q37" i="2"/>
  <c r="R37" i="2" s="1"/>
  <c r="S37" i="2" s="1"/>
  <c r="E39" i="2"/>
  <c r="F39" i="2" s="1"/>
  <c r="Q39" i="2"/>
  <c r="R39" i="2" s="1"/>
  <c r="S39" i="2" s="1"/>
  <c r="E64" i="1"/>
  <c r="J45" i="3"/>
  <c r="M48" i="3" s="1"/>
  <c r="N48" i="3" s="1"/>
  <c r="J37" i="3"/>
  <c r="T45" i="3"/>
  <c r="U45" i="3" s="1"/>
  <c r="V45" i="3" s="1"/>
  <c r="T38" i="3"/>
  <c r="U38" i="3" s="1"/>
  <c r="V38" i="3" s="1"/>
  <c r="K48" i="3"/>
  <c r="L48" i="3" s="1"/>
  <c r="K46" i="3"/>
  <c r="L46" i="3" s="1"/>
  <c r="M40" i="3"/>
  <c r="N40" i="3" s="1"/>
  <c r="K40" i="3"/>
  <c r="M38" i="3"/>
  <c r="N38" i="3" s="1"/>
  <c r="K38" i="3"/>
  <c r="K32" i="3"/>
  <c r="L40" i="3"/>
  <c r="I40" i="3"/>
  <c r="L38" i="3"/>
  <c r="I38" i="3"/>
  <c r="I30" i="3"/>
  <c r="I48" i="3"/>
  <c r="I46" i="3"/>
  <c r="I39" i="3"/>
  <c r="I37" i="3"/>
  <c r="L32" i="3"/>
  <c r="I32" i="3"/>
  <c r="T30" i="3"/>
  <c r="U30" i="3" s="1"/>
  <c r="V30" i="3" s="1"/>
  <c r="T25" i="3"/>
  <c r="U25" i="3" s="1"/>
  <c r="V25" i="3" s="1"/>
  <c r="M47" i="3"/>
  <c r="N47" i="3" s="1"/>
  <c r="K47" i="3"/>
  <c r="M45" i="3"/>
  <c r="N45" i="3" s="1"/>
  <c r="K45" i="3"/>
  <c r="L45" i="3" s="1"/>
  <c r="K39" i="3"/>
  <c r="L39" i="3" s="1"/>
  <c r="M39" i="3"/>
  <c r="N39" i="3" s="1"/>
  <c r="K37" i="3"/>
  <c r="L37" i="3" s="1"/>
  <c r="M37" i="3"/>
  <c r="N37" i="3" s="1"/>
  <c r="L47" i="3"/>
  <c r="I47" i="3"/>
  <c r="I45" i="3"/>
  <c r="I31" i="3"/>
  <c r="I25" i="3"/>
  <c r="I19" i="3"/>
  <c r="I18" i="3"/>
  <c r="K31" i="3"/>
  <c r="L31" i="3" s="1"/>
  <c r="J30" i="3"/>
  <c r="O25" i="3"/>
  <c r="P25" i="3" s="1"/>
  <c r="M25" i="3"/>
  <c r="N25" i="3" s="1"/>
  <c r="K25" i="3"/>
  <c r="L25" i="3" s="1"/>
  <c r="J19" i="3"/>
  <c r="J18" i="3"/>
  <c r="T17" i="3"/>
  <c r="U17" i="3" s="1"/>
  <c r="V17" i="3" s="1"/>
  <c r="H17" i="3"/>
  <c r="I17" i="3" s="1"/>
  <c r="J17" i="3"/>
  <c r="J12" i="3"/>
  <c r="I12" i="3"/>
  <c r="M48" i="2"/>
  <c r="N48" i="2" s="1"/>
  <c r="K47" i="2"/>
  <c r="K46" i="2"/>
  <c r="I45" i="2"/>
  <c r="I48" i="2"/>
  <c r="L47" i="2"/>
  <c r="I47" i="2"/>
  <c r="L46" i="2"/>
  <c r="I46" i="2"/>
  <c r="K45" i="2"/>
  <c r="L45" i="2" s="1"/>
  <c r="M60" i="1"/>
  <c r="M58" i="1"/>
  <c r="M59" i="1"/>
  <c r="M57" i="1"/>
  <c r="Q53" i="1"/>
  <c r="Q51" i="1"/>
  <c r="Q52" i="1"/>
  <c r="R52" i="1" s="1"/>
  <c r="S52" i="1" s="1"/>
  <c r="Q50" i="1"/>
  <c r="C54" i="1"/>
  <c r="E65" i="1"/>
  <c r="G81" i="1"/>
  <c r="H81" i="1" s="1"/>
  <c r="I59" i="1"/>
  <c r="L60" i="1"/>
  <c r="I60" i="1"/>
  <c r="I58" i="1"/>
  <c r="I57" i="1"/>
  <c r="N59" i="1"/>
  <c r="K59" i="1"/>
  <c r="L59" i="1" s="1"/>
  <c r="N58" i="1"/>
  <c r="K58" i="1"/>
  <c r="L58" i="1" s="1"/>
  <c r="N57" i="1"/>
  <c r="K57" i="1"/>
  <c r="L57" i="1" s="1"/>
  <c r="G73" i="1"/>
  <c r="H73" i="1" s="1"/>
  <c r="T72" i="1"/>
  <c r="U72" i="1" s="1"/>
  <c r="G72" i="1"/>
  <c r="H72" i="1" s="1"/>
  <c r="E73" i="1"/>
  <c r="T74" i="1"/>
  <c r="U74" i="1" s="1"/>
  <c r="V74" i="1" s="1"/>
  <c r="G74" i="1"/>
  <c r="H74" i="1" s="1"/>
  <c r="E81" i="1"/>
  <c r="F81" i="1" s="1"/>
  <c r="E82" i="1"/>
  <c r="C22" i="1"/>
  <c r="C20" i="2"/>
  <c r="V21" i="1"/>
  <c r="S13" i="1"/>
  <c r="S19" i="1"/>
  <c r="S20" i="1"/>
  <c r="S21" i="1"/>
  <c r="S28" i="1"/>
  <c r="S34" i="1"/>
  <c r="T34" i="1"/>
  <c r="U34" i="1" s="1"/>
  <c r="G36" i="1"/>
  <c r="H36" i="1" s="1"/>
  <c r="E36" i="1"/>
  <c r="F36" i="1" s="1"/>
  <c r="F13" i="1"/>
  <c r="J13" i="1"/>
  <c r="V13" i="1"/>
  <c r="F19" i="1"/>
  <c r="J19" i="1"/>
  <c r="V19" i="1"/>
  <c r="F20" i="1"/>
  <c r="J20" i="1"/>
  <c r="F21" i="1"/>
  <c r="J21" i="1"/>
  <c r="F28" i="1"/>
  <c r="J28" i="1"/>
  <c r="V28" i="1"/>
  <c r="Q36" i="1"/>
  <c r="R36" i="1" s="1"/>
  <c r="Q35" i="1"/>
  <c r="R35" i="1" s="1"/>
  <c r="S35" i="1" s="1"/>
  <c r="F34" i="1"/>
  <c r="J34" i="1"/>
  <c r="V34" i="1"/>
  <c r="G35" i="1"/>
  <c r="E35" i="1"/>
  <c r="F35" i="1" s="1"/>
  <c r="T35" i="1"/>
  <c r="U35" i="1" s="1"/>
  <c r="V35" i="1" s="1"/>
  <c r="S36" i="1"/>
  <c r="J36" i="1"/>
  <c r="C37" i="1"/>
  <c r="T67" i="1"/>
  <c r="U67" i="1" s="1"/>
  <c r="R67" i="1"/>
  <c r="S67" i="1" s="1"/>
  <c r="K53" i="1"/>
  <c r="H41" i="1"/>
  <c r="Q41" i="1"/>
  <c r="R41" i="1" s="1"/>
  <c r="S41" i="1" s="1"/>
  <c r="E42" i="1"/>
  <c r="F42" i="1" s="1"/>
  <c r="G42" i="1"/>
  <c r="H42" i="1" s="1"/>
  <c r="Q42" i="1"/>
  <c r="R42" i="1" s="1"/>
  <c r="S42" i="1" s="1"/>
  <c r="E43" i="1"/>
  <c r="F43" i="1" s="1"/>
  <c r="G43" i="1"/>
  <c r="H43" i="1" s="1"/>
  <c r="Q43" i="1"/>
  <c r="R43" i="1" s="1"/>
  <c r="S43" i="1" s="1"/>
  <c r="E44" i="1"/>
  <c r="F44" i="1" s="1"/>
  <c r="G44" i="1"/>
  <c r="H44" i="1" s="1"/>
  <c r="Q44" i="1"/>
  <c r="R44" i="1" s="1"/>
  <c r="S44" i="1" s="1"/>
  <c r="E50" i="1"/>
  <c r="F50" i="1" s="1"/>
  <c r="G50" i="1"/>
  <c r="H50" i="1" s="1"/>
  <c r="R50" i="1"/>
  <c r="S50" i="1" s="1"/>
  <c r="E51" i="1"/>
  <c r="F51" i="1" s="1"/>
  <c r="G51" i="1"/>
  <c r="H51" i="1" s="1"/>
  <c r="R51" i="1"/>
  <c r="S51" i="1" s="1"/>
  <c r="E52" i="1"/>
  <c r="F52" i="1" s="1"/>
  <c r="G52" i="1"/>
  <c r="H52" i="1" s="1"/>
  <c r="F53" i="1"/>
  <c r="I53" i="1" s="1"/>
  <c r="F64" i="1"/>
  <c r="J64" i="1"/>
  <c r="F65" i="1"/>
  <c r="J65" i="1"/>
  <c r="F66" i="1"/>
  <c r="J66" i="1"/>
  <c r="K67" i="1"/>
  <c r="N67" i="1"/>
  <c r="V67" i="1"/>
  <c r="C68" i="1"/>
  <c r="F72" i="1"/>
  <c r="V72" i="1"/>
  <c r="F73" i="1"/>
  <c r="V73" i="1"/>
  <c r="F74" i="1"/>
  <c r="J74" i="1"/>
  <c r="K75" i="1"/>
  <c r="N75" i="1"/>
  <c r="S75" i="1"/>
  <c r="C84" i="1"/>
  <c r="E80" i="1"/>
  <c r="F80" i="1" s="1"/>
  <c r="G80" i="1"/>
  <c r="H80" i="1" s="1"/>
  <c r="S82" i="1"/>
  <c r="S18" i="2"/>
  <c r="T41" i="1"/>
  <c r="U41" i="1" s="1"/>
  <c r="V41" i="1" s="1"/>
  <c r="J42" i="1"/>
  <c r="J43" i="1"/>
  <c r="J44" i="1"/>
  <c r="Q64" i="1"/>
  <c r="R64" i="1" s="1"/>
  <c r="S64" i="1" s="1"/>
  <c r="Q65" i="1"/>
  <c r="R65" i="1" s="1"/>
  <c r="S65" i="1" s="1"/>
  <c r="Q66" i="1"/>
  <c r="R66" i="1" s="1"/>
  <c r="S66" i="1" s="1"/>
  <c r="F67" i="1"/>
  <c r="S72" i="1"/>
  <c r="F75" i="1"/>
  <c r="G82" i="1"/>
  <c r="H82" i="1" s="1"/>
  <c r="T80" i="1"/>
  <c r="U80" i="1" s="1"/>
  <c r="V80" i="1" s="1"/>
  <c r="S81" i="1"/>
  <c r="V81" i="1"/>
  <c r="F82" i="1"/>
  <c r="V82" i="1"/>
  <c r="O83" i="1"/>
  <c r="P83" i="1" s="1"/>
  <c r="V83" i="1"/>
  <c r="T12" i="2"/>
  <c r="U12" i="2" s="1"/>
  <c r="V12" i="2"/>
  <c r="C13" i="2"/>
  <c r="T17" i="2"/>
  <c r="U17" i="2" s="1"/>
  <c r="V17" i="2" s="1"/>
  <c r="F18" i="2"/>
  <c r="T18" i="2"/>
  <c r="U18" i="2" s="1"/>
  <c r="V18" i="2" s="1"/>
  <c r="G19" i="2"/>
  <c r="H19" i="2" s="1"/>
  <c r="T25" i="2"/>
  <c r="U25" i="2" s="1"/>
  <c r="V25" i="2" s="1"/>
  <c r="F31" i="2"/>
  <c r="F38" i="2"/>
  <c r="F40" i="2"/>
  <c r="K83" i="1"/>
  <c r="E12" i="2"/>
  <c r="F12" i="2" s="1"/>
  <c r="G12" i="2"/>
  <c r="H12" i="2" s="1"/>
  <c r="E17" i="2"/>
  <c r="F17" i="2" s="1"/>
  <c r="G17" i="2"/>
  <c r="H17" i="2" s="1"/>
  <c r="S17" i="2"/>
  <c r="G18" i="2"/>
  <c r="H18" i="2" s="1"/>
  <c r="F19" i="2"/>
  <c r="Q19" i="2"/>
  <c r="R19" i="2" s="1"/>
  <c r="S19" i="2" s="1"/>
  <c r="C26" i="2"/>
  <c r="F25" i="2"/>
  <c r="C33" i="2"/>
  <c r="F30" i="2"/>
  <c r="C41" i="2"/>
  <c r="F37" i="2"/>
  <c r="T38" i="2"/>
  <c r="U38" i="2" s="1"/>
  <c r="V38" i="2" s="1"/>
  <c r="T40" i="2"/>
  <c r="U40" i="2" s="1"/>
  <c r="V40" i="2" s="1"/>
  <c r="S40" i="2"/>
  <c r="J25" i="2"/>
  <c r="J30" i="2"/>
  <c r="J32" i="2"/>
  <c r="J38" i="2"/>
  <c r="J40" i="2"/>
  <c r="N64" i="5" l="1"/>
  <c r="O64" i="5"/>
  <c r="P64" i="5" s="1"/>
  <c r="N57" i="5"/>
  <c r="O57" i="5"/>
  <c r="P57" i="5" s="1"/>
  <c r="O58" i="5"/>
  <c r="P58" i="5" s="1"/>
  <c r="N65" i="5"/>
  <c r="O65" i="5"/>
  <c r="P65" i="5" s="1"/>
  <c r="N60" i="5"/>
  <c r="O60" i="5"/>
  <c r="P60" i="5" s="1"/>
  <c r="O66" i="5"/>
  <c r="P66" i="5" s="1"/>
  <c r="O59" i="5"/>
  <c r="P59" i="5" s="1"/>
  <c r="J51" i="1"/>
  <c r="N47" i="2"/>
  <c r="O47" i="2"/>
  <c r="P47" i="2" s="1"/>
  <c r="J39" i="2"/>
  <c r="J37" i="2"/>
  <c r="M38" i="2" s="1"/>
  <c r="N38" i="2" s="1"/>
  <c r="M45" i="2"/>
  <c r="M46" i="2"/>
  <c r="N46" i="2" s="1"/>
  <c r="T30" i="2"/>
  <c r="U30" i="2" s="1"/>
  <c r="V30" i="2" s="1"/>
  <c r="J31" i="2"/>
  <c r="M32" i="2" s="1"/>
  <c r="T31" i="2"/>
  <c r="U31" i="2" s="1"/>
  <c r="V31" i="2" s="1"/>
  <c r="T32" i="2"/>
  <c r="U32" i="2" s="1"/>
  <c r="V32" i="2" s="1"/>
  <c r="R46" i="2"/>
  <c r="S46" i="2" s="1"/>
  <c r="T46" i="2"/>
  <c r="U46" i="2" s="1"/>
  <c r="V46" i="2" s="1"/>
  <c r="R47" i="2"/>
  <c r="S47" i="2" s="1"/>
  <c r="T47" i="2"/>
  <c r="U47" i="2" s="1"/>
  <c r="V47" i="2" s="1"/>
  <c r="T37" i="2"/>
  <c r="U37" i="2" s="1"/>
  <c r="V37" i="2" s="1"/>
  <c r="T39" i="2"/>
  <c r="U39" i="2" s="1"/>
  <c r="V39" i="2" s="1"/>
  <c r="R45" i="2"/>
  <c r="S45" i="2" s="1"/>
  <c r="T45" i="2"/>
  <c r="U45" i="2" s="1"/>
  <c r="V45" i="2" s="1"/>
  <c r="R48" i="2"/>
  <c r="S48" i="2" s="1"/>
  <c r="T48" i="2"/>
  <c r="U48" i="2" s="1"/>
  <c r="V48" i="2" s="1"/>
  <c r="J72" i="1"/>
  <c r="J82" i="1"/>
  <c r="K82" i="1" s="1"/>
  <c r="L82" i="1" s="1"/>
  <c r="J81" i="1"/>
  <c r="J80" i="1"/>
  <c r="K80" i="1" s="1"/>
  <c r="L80" i="1" s="1"/>
  <c r="O45" i="3"/>
  <c r="P45" i="3" s="1"/>
  <c r="O40" i="3"/>
  <c r="P40" i="3" s="1"/>
  <c r="M46" i="3"/>
  <c r="N46" i="3" s="1"/>
  <c r="M12" i="3"/>
  <c r="N12" i="3" s="1"/>
  <c r="K12" i="3"/>
  <c r="L12" i="3" s="1"/>
  <c r="O18" i="3"/>
  <c r="P18" i="3" s="1"/>
  <c r="M18" i="3"/>
  <c r="N18" i="3" s="1"/>
  <c r="K18" i="3"/>
  <c r="L18" i="3" s="1"/>
  <c r="O39" i="3"/>
  <c r="P39" i="3" s="1"/>
  <c r="M17" i="3"/>
  <c r="N17" i="3" s="1"/>
  <c r="K17" i="3"/>
  <c r="L17" i="3" s="1"/>
  <c r="O19" i="3"/>
  <c r="P19" i="3" s="1"/>
  <c r="M19" i="3"/>
  <c r="N19" i="3" s="1"/>
  <c r="K19" i="3"/>
  <c r="L19" i="3" s="1"/>
  <c r="M30" i="3"/>
  <c r="N30" i="3" s="1"/>
  <c r="K30" i="3"/>
  <c r="L30" i="3" s="1"/>
  <c r="M31" i="3"/>
  <c r="O37" i="3"/>
  <c r="P37" i="3" s="1"/>
  <c r="O47" i="3"/>
  <c r="P47" i="3" s="1"/>
  <c r="M32" i="3"/>
  <c r="O38" i="3"/>
  <c r="P38" i="3" s="1"/>
  <c r="O48" i="3"/>
  <c r="P48" i="3" s="1"/>
  <c r="O48" i="2"/>
  <c r="P48" i="2" s="1"/>
  <c r="O60" i="1"/>
  <c r="P60" i="1" s="1"/>
  <c r="N60" i="1"/>
  <c r="J52" i="1"/>
  <c r="M52" i="1" s="1"/>
  <c r="N52" i="1" s="1"/>
  <c r="J50" i="1"/>
  <c r="J73" i="1"/>
  <c r="M74" i="1" s="1"/>
  <c r="O58" i="1"/>
  <c r="P58" i="1" s="1"/>
  <c r="O57" i="1"/>
  <c r="P57" i="1" s="1"/>
  <c r="O59" i="1"/>
  <c r="P59" i="1" s="1"/>
  <c r="I17" i="2"/>
  <c r="I12" i="2"/>
  <c r="K38" i="2"/>
  <c r="M30" i="2"/>
  <c r="N30" i="2" s="1"/>
  <c r="K30" i="2"/>
  <c r="L30" i="2" s="1"/>
  <c r="I39" i="2"/>
  <c r="I37" i="2"/>
  <c r="I30" i="2"/>
  <c r="I83" i="1"/>
  <c r="L83" i="1"/>
  <c r="T19" i="2"/>
  <c r="U19" i="2" s="1"/>
  <c r="V19" i="2" s="1"/>
  <c r="I18" i="2"/>
  <c r="J12" i="2"/>
  <c r="I82" i="1"/>
  <c r="K50" i="1"/>
  <c r="L50" i="1" s="1"/>
  <c r="M43" i="1"/>
  <c r="N43" i="1" s="1"/>
  <c r="K43" i="1"/>
  <c r="K74" i="1"/>
  <c r="L74" i="1" s="1"/>
  <c r="I73" i="1"/>
  <c r="K72" i="1"/>
  <c r="L72" i="1" s="1"/>
  <c r="I66" i="1"/>
  <c r="M65" i="1"/>
  <c r="N65" i="1" s="1"/>
  <c r="K65" i="1"/>
  <c r="I64" i="1"/>
  <c r="L53" i="1"/>
  <c r="I51" i="1"/>
  <c r="I50" i="1"/>
  <c r="L43" i="1"/>
  <c r="I43" i="1"/>
  <c r="T44" i="1"/>
  <c r="U44" i="1" s="1"/>
  <c r="V44" i="1" s="1"/>
  <c r="T42" i="1"/>
  <c r="U42" i="1" s="1"/>
  <c r="V42" i="1" s="1"/>
  <c r="M36" i="1"/>
  <c r="N36" i="1" s="1"/>
  <c r="K36" i="1"/>
  <c r="H35" i="1"/>
  <c r="J35" i="1"/>
  <c r="O34" i="1"/>
  <c r="P34" i="1" s="1"/>
  <c r="M34" i="1"/>
  <c r="N34" i="1" s="1"/>
  <c r="K34" i="1"/>
  <c r="I28" i="1"/>
  <c r="I21" i="1"/>
  <c r="I20" i="1"/>
  <c r="M19" i="1"/>
  <c r="N19" i="1" s="1"/>
  <c r="K19" i="1"/>
  <c r="I13" i="1"/>
  <c r="T65" i="1"/>
  <c r="U65" i="1" s="1"/>
  <c r="V65" i="1" s="1"/>
  <c r="T52" i="1"/>
  <c r="U52" i="1" s="1"/>
  <c r="V52" i="1" s="1"/>
  <c r="T50" i="1"/>
  <c r="U50" i="1" s="1"/>
  <c r="V50" i="1" s="1"/>
  <c r="T36" i="1"/>
  <c r="U36" i="1" s="1"/>
  <c r="V36" i="1" s="1"/>
  <c r="K40" i="2"/>
  <c r="M40" i="2"/>
  <c r="N40" i="2" s="1"/>
  <c r="K32" i="2"/>
  <c r="M39" i="2"/>
  <c r="N39" i="2" s="1"/>
  <c r="K39" i="2"/>
  <c r="L39" i="2" s="1"/>
  <c r="M37" i="2"/>
  <c r="N37" i="2" s="1"/>
  <c r="K37" i="2"/>
  <c r="L37" i="2" s="1"/>
  <c r="M31" i="2"/>
  <c r="N31" i="2" s="1"/>
  <c r="M25" i="2"/>
  <c r="N25" i="2" s="1"/>
  <c r="K25" i="2"/>
  <c r="L25" i="2" s="1"/>
  <c r="L32" i="2"/>
  <c r="I32" i="2"/>
  <c r="I25" i="2"/>
  <c r="I19" i="2"/>
  <c r="L40" i="2"/>
  <c r="I40" i="2"/>
  <c r="L38" i="2"/>
  <c r="I38" i="2"/>
  <c r="I31" i="2"/>
  <c r="J19" i="2"/>
  <c r="J18" i="2"/>
  <c r="J17" i="2"/>
  <c r="K81" i="1"/>
  <c r="I81" i="1"/>
  <c r="L81" i="1"/>
  <c r="L75" i="1"/>
  <c r="I75" i="1"/>
  <c r="L67" i="1"/>
  <c r="I67" i="1"/>
  <c r="T53" i="1"/>
  <c r="U53" i="1" s="1"/>
  <c r="V53" i="1" s="1"/>
  <c r="R53" i="1"/>
  <c r="S53" i="1" s="1"/>
  <c r="K51" i="1"/>
  <c r="L51" i="1" s="1"/>
  <c r="O44" i="1"/>
  <c r="P44" i="1" s="1"/>
  <c r="M44" i="1"/>
  <c r="N44" i="1" s="1"/>
  <c r="K44" i="1"/>
  <c r="M42" i="1"/>
  <c r="N42" i="1" s="1"/>
  <c r="K42" i="1"/>
  <c r="O41" i="1"/>
  <c r="P41" i="1" s="1"/>
  <c r="M41" i="1"/>
  <c r="N41" i="1" s="1"/>
  <c r="K41" i="1"/>
  <c r="I80" i="1"/>
  <c r="I74" i="1"/>
  <c r="I72" i="1"/>
  <c r="O66" i="1"/>
  <c r="P66" i="1" s="1"/>
  <c r="M66" i="1"/>
  <c r="N66" i="1" s="1"/>
  <c r="K66" i="1"/>
  <c r="L66" i="1" s="1"/>
  <c r="I65" i="1"/>
  <c r="L65" i="1"/>
  <c r="M64" i="1"/>
  <c r="N64" i="1" s="1"/>
  <c r="K64" i="1"/>
  <c r="L64" i="1" s="1"/>
  <c r="I52" i="1"/>
  <c r="L44" i="1"/>
  <c r="I44" i="1"/>
  <c r="L42" i="1"/>
  <c r="I42" i="1"/>
  <c r="L41" i="1"/>
  <c r="I41" i="1"/>
  <c r="T43" i="1"/>
  <c r="U43" i="1" s="1"/>
  <c r="V43" i="1" s="1"/>
  <c r="I35" i="1"/>
  <c r="L34" i="1"/>
  <c r="I34" i="1"/>
  <c r="O28" i="1"/>
  <c r="P28" i="1" s="1"/>
  <c r="M28" i="1"/>
  <c r="N28" i="1" s="1"/>
  <c r="K28" i="1"/>
  <c r="L28" i="1" s="1"/>
  <c r="M21" i="1"/>
  <c r="N21" i="1" s="1"/>
  <c r="K21" i="1"/>
  <c r="L21" i="1" s="1"/>
  <c r="O20" i="1"/>
  <c r="P20" i="1" s="1"/>
  <c r="M20" i="1"/>
  <c r="N20" i="1" s="1"/>
  <c r="K20" i="1"/>
  <c r="L20" i="1" s="1"/>
  <c r="L19" i="1"/>
  <c r="I19" i="1"/>
  <c r="K13" i="1"/>
  <c r="L13" i="1" s="1"/>
  <c r="M13" i="1"/>
  <c r="N13" i="1" s="1"/>
  <c r="T66" i="1"/>
  <c r="U66" i="1" s="1"/>
  <c r="V66" i="1" s="1"/>
  <c r="T64" i="1"/>
  <c r="U64" i="1" s="1"/>
  <c r="V64" i="1" s="1"/>
  <c r="T51" i="1"/>
  <c r="U51" i="1" s="1"/>
  <c r="V51" i="1" s="1"/>
  <c r="I36" i="1"/>
  <c r="L36" i="1"/>
  <c r="M51" i="1" l="1"/>
  <c r="N51" i="1" s="1"/>
  <c r="M72" i="1"/>
  <c r="N72" i="1" s="1"/>
  <c r="O37" i="2"/>
  <c r="P37" i="2" s="1"/>
  <c r="O46" i="2"/>
  <c r="P46" i="2" s="1"/>
  <c r="N45" i="2"/>
  <c r="O45" i="2"/>
  <c r="P45" i="2" s="1"/>
  <c r="N32" i="2"/>
  <c r="O32" i="2"/>
  <c r="P32" i="2" s="1"/>
  <c r="K31" i="2"/>
  <c r="L31" i="2" s="1"/>
  <c r="O30" i="2"/>
  <c r="P30" i="2" s="1"/>
  <c r="O25" i="2"/>
  <c r="P25" i="2" s="1"/>
  <c r="M73" i="1"/>
  <c r="N73" i="1" s="1"/>
  <c r="M82" i="1"/>
  <c r="N82" i="1" s="1"/>
  <c r="K52" i="1"/>
  <c r="L52" i="1" s="1"/>
  <c r="M53" i="1"/>
  <c r="N53" i="1" s="1"/>
  <c r="M80" i="1"/>
  <c r="N80" i="1" s="1"/>
  <c r="M81" i="1"/>
  <c r="N81" i="1" s="1"/>
  <c r="O46" i="3"/>
  <c r="P46" i="3" s="1"/>
  <c r="N31" i="3"/>
  <c r="O31" i="3"/>
  <c r="P31" i="3" s="1"/>
  <c r="N32" i="3"/>
  <c r="O32" i="3"/>
  <c r="P32" i="3" s="1"/>
  <c r="O30" i="3"/>
  <c r="P30" i="3" s="1"/>
  <c r="O17" i="3"/>
  <c r="P17" i="3" s="1"/>
  <c r="O12" i="3"/>
  <c r="P12" i="3" s="1"/>
  <c r="N74" i="1"/>
  <c r="O74" i="1"/>
  <c r="P74" i="1" s="1"/>
  <c r="K73" i="1"/>
  <c r="L73" i="1" s="1"/>
  <c r="M50" i="1"/>
  <c r="O65" i="1"/>
  <c r="P65" i="1" s="1"/>
  <c r="O13" i="1"/>
  <c r="P13" i="1" s="1"/>
  <c r="O21" i="1"/>
  <c r="P21" i="1" s="1"/>
  <c r="O64" i="1"/>
  <c r="P64" i="1" s="1"/>
  <c r="O42" i="1"/>
  <c r="P42" i="1" s="1"/>
  <c r="O51" i="1"/>
  <c r="P51" i="1" s="1"/>
  <c r="O82" i="1"/>
  <c r="P82" i="1" s="1"/>
  <c r="O18" i="2"/>
  <c r="P18" i="2" s="1"/>
  <c r="M18" i="2"/>
  <c r="N18" i="2" s="1"/>
  <c r="K18" i="2"/>
  <c r="L18" i="2" s="1"/>
  <c r="O39" i="2"/>
  <c r="P39" i="2" s="1"/>
  <c r="O19" i="1"/>
  <c r="P19" i="1" s="1"/>
  <c r="M35" i="1"/>
  <c r="N35" i="1" s="1"/>
  <c r="K35" i="1"/>
  <c r="L35" i="1" s="1"/>
  <c r="O36" i="1"/>
  <c r="P36" i="1" s="1"/>
  <c r="O72" i="1"/>
  <c r="P72" i="1" s="1"/>
  <c r="O43" i="1"/>
  <c r="P43" i="1" s="1"/>
  <c r="O52" i="1"/>
  <c r="P52" i="1" s="1"/>
  <c r="O12" i="2"/>
  <c r="P12" i="2" s="1"/>
  <c r="M12" i="2"/>
  <c r="N12" i="2" s="1"/>
  <c r="K12" i="2"/>
  <c r="L12" i="2" s="1"/>
  <c r="O53" i="1"/>
  <c r="P53" i="1" s="1"/>
  <c r="M17" i="2"/>
  <c r="N17" i="2" s="1"/>
  <c r="K17" i="2"/>
  <c r="L17" i="2" s="1"/>
  <c r="M19" i="2"/>
  <c r="N19" i="2" s="1"/>
  <c r="K19" i="2"/>
  <c r="L19" i="2" s="1"/>
  <c r="O31" i="2"/>
  <c r="P31" i="2" s="1"/>
  <c r="O40" i="2"/>
  <c r="P40" i="2" s="1"/>
  <c r="O38" i="2"/>
  <c r="P38" i="2" s="1"/>
  <c r="O81" i="1" l="1"/>
  <c r="P81" i="1" s="1"/>
  <c r="O73" i="1"/>
  <c r="P73" i="1" s="1"/>
  <c r="O80" i="1"/>
  <c r="P80" i="1" s="1"/>
  <c r="O50" i="1"/>
  <c r="P50" i="1" s="1"/>
  <c r="N50" i="1"/>
  <c r="O19" i="2"/>
  <c r="P19" i="2" s="1"/>
  <c r="O17" i="2"/>
  <c r="P17" i="2" s="1"/>
  <c r="O35" i="1"/>
  <c r="P35" i="1" s="1"/>
</calcChain>
</file>

<file path=xl/sharedStrings.xml><?xml version="1.0" encoding="utf-8"?>
<sst xmlns="http://schemas.openxmlformats.org/spreadsheetml/2006/main" count="876" uniqueCount="48">
  <si>
    <t>Treaty Limit</t>
  </si>
  <si>
    <t>%</t>
  </si>
  <si>
    <t>Minimum</t>
  </si>
  <si>
    <t>Maximum</t>
  </si>
  <si>
    <t>Gross Retention</t>
  </si>
  <si>
    <t>Quota Share</t>
  </si>
  <si>
    <t>Retn</t>
  </si>
  <si>
    <t>FS</t>
  </si>
  <si>
    <t>TSI</t>
  </si>
  <si>
    <t>Premium</t>
  </si>
  <si>
    <t>Gross Retention %</t>
  </si>
  <si>
    <t>Gross Retention Prem</t>
  </si>
  <si>
    <t>QS SI</t>
  </si>
  <si>
    <t>QS %</t>
  </si>
  <si>
    <t>QS Prem</t>
  </si>
  <si>
    <t>SGI Share</t>
  </si>
  <si>
    <t>SGI Share %</t>
  </si>
  <si>
    <t>SGI Share Prem</t>
  </si>
  <si>
    <t>SGI Net Retention</t>
  </si>
  <si>
    <t>XOL</t>
  </si>
  <si>
    <t>1st Sur SI</t>
  </si>
  <si>
    <t>FS %</t>
  </si>
  <si>
    <t>FS Prem</t>
  </si>
  <si>
    <t>FAC SI</t>
  </si>
  <si>
    <t>FAC %</t>
  </si>
  <si>
    <t>FAC Prem</t>
  </si>
  <si>
    <t>Location 1</t>
  </si>
  <si>
    <t>Location 2</t>
  </si>
  <si>
    <t>Location 3</t>
  </si>
  <si>
    <t>Total</t>
  </si>
  <si>
    <t>Location 4</t>
  </si>
  <si>
    <t>SGI Net Retention %</t>
  </si>
  <si>
    <t>XOL %</t>
  </si>
  <si>
    <t>Policy Premium Rate</t>
  </si>
  <si>
    <t>Current System Allocation for Multiple location</t>
  </si>
  <si>
    <t>Current System Allocation for one location</t>
  </si>
  <si>
    <t>Expected System</t>
  </si>
  <si>
    <r>
      <rPr>
        <b/>
        <sz val="11"/>
        <color rgb="FFFF0000"/>
        <rFont val="Calibri"/>
        <family val="2"/>
        <scheme val="minor"/>
      </rPr>
      <t xml:space="preserve">Case 1: </t>
    </r>
    <r>
      <rPr>
        <b/>
        <sz val="11"/>
        <color theme="1"/>
        <rFont val="Calibri"/>
        <family val="2"/>
        <scheme val="minor"/>
      </rPr>
      <t xml:space="preserve">
Allocation based on Highest sum insured of Location Location for single location policy</t>
    </r>
  </si>
  <si>
    <r>
      <rPr>
        <b/>
        <sz val="11"/>
        <color rgb="FFFF0000"/>
        <rFont val="Calibri"/>
        <family val="2"/>
        <scheme val="minor"/>
      </rPr>
      <t xml:space="preserve">Case 2: </t>
    </r>
    <r>
      <rPr>
        <b/>
        <sz val="11"/>
        <color theme="1"/>
        <rFont val="Calibri"/>
        <family val="2"/>
        <scheme val="minor"/>
      </rPr>
      <t xml:space="preserve">
Allocation based on Highest sum insured of Location for Multiple location policy</t>
    </r>
  </si>
  <si>
    <r>
      <rPr>
        <b/>
        <sz val="11"/>
        <color rgb="FFFF0000"/>
        <rFont val="Calibri"/>
        <family val="2"/>
        <scheme val="minor"/>
      </rPr>
      <t>Case 3:</t>
    </r>
    <r>
      <rPr>
        <b/>
        <sz val="11"/>
        <color theme="1"/>
        <rFont val="Calibri"/>
        <family val="2"/>
        <scheme val="minor"/>
      </rPr>
      <t xml:space="preserve"> 
Allocation based on Highest sum insured of Location for Multiple location policy</t>
    </r>
  </si>
  <si>
    <r>
      <rPr>
        <b/>
        <sz val="11"/>
        <color rgb="FFFF0000"/>
        <rFont val="Calibri"/>
        <family val="2"/>
        <scheme val="minor"/>
      </rPr>
      <t>Case 3:</t>
    </r>
    <r>
      <rPr>
        <b/>
        <sz val="11"/>
        <color theme="1"/>
        <rFont val="Calibri"/>
        <family val="2"/>
        <scheme val="minor"/>
      </rPr>
      <t xml:space="preserve"> 
System allocation based on Highest sum insured of Location for Multiple location policy</t>
    </r>
  </si>
  <si>
    <r>
      <rPr>
        <b/>
        <sz val="11"/>
        <color rgb="FFFF0000"/>
        <rFont val="Calibri"/>
        <family val="2"/>
        <scheme val="minor"/>
      </rPr>
      <t xml:space="preserve">Case 2: </t>
    </r>
    <r>
      <rPr>
        <b/>
        <sz val="11"/>
        <color theme="1"/>
        <rFont val="Calibri"/>
        <family val="2"/>
        <scheme val="minor"/>
      </rPr>
      <t xml:space="preserve">
System allocation based on Highest sum insured of Location for Multiple location policy</t>
    </r>
  </si>
  <si>
    <r>
      <rPr>
        <b/>
        <sz val="11"/>
        <color rgb="FFFF0000"/>
        <rFont val="Calibri"/>
        <family val="2"/>
        <scheme val="minor"/>
      </rPr>
      <t xml:space="preserve">Case 1: </t>
    </r>
    <r>
      <rPr>
        <b/>
        <sz val="11"/>
        <color theme="1"/>
        <rFont val="Calibri"/>
        <family val="2"/>
        <scheme val="minor"/>
      </rPr>
      <t xml:space="preserve">
System allocation based on Highest sum insured of Location Location for single location policy</t>
    </r>
  </si>
  <si>
    <r>
      <rPr>
        <b/>
        <sz val="11"/>
        <color rgb="FFFF0000"/>
        <rFont val="Calibri"/>
        <family val="2"/>
        <scheme val="minor"/>
      </rPr>
      <t>Case 4:</t>
    </r>
    <r>
      <rPr>
        <b/>
        <sz val="11"/>
        <color theme="1"/>
        <rFont val="Calibri"/>
        <family val="2"/>
        <scheme val="minor"/>
      </rPr>
      <t xml:space="preserve"> 
Manual allocation changes the Gross Retention value</t>
    </r>
  </si>
  <si>
    <r>
      <rPr>
        <b/>
        <sz val="11"/>
        <color rgb="FFFF0000"/>
        <rFont val="Calibri"/>
        <family val="2"/>
        <scheme val="minor"/>
      </rPr>
      <t>Case 5:</t>
    </r>
    <r>
      <rPr>
        <b/>
        <sz val="11"/>
        <color theme="1"/>
        <rFont val="Calibri"/>
        <family val="2"/>
        <scheme val="minor"/>
      </rPr>
      <t xml:space="preserve"> 
Manual allocation changes the Gross Retention value and SGI Net retention</t>
    </r>
  </si>
  <si>
    <r>
      <rPr>
        <b/>
        <sz val="11"/>
        <color rgb="FFFF0000"/>
        <rFont val="Calibri"/>
        <family val="2"/>
        <scheme val="minor"/>
      </rPr>
      <t>Case 6:</t>
    </r>
    <r>
      <rPr>
        <b/>
        <sz val="11"/>
        <color theme="1"/>
        <rFont val="Calibri"/>
        <family val="2"/>
        <scheme val="minor"/>
      </rPr>
      <t xml:space="preserve"> 
Manual allocation changes the Gross Retention, SGI Net retention and Surplus</t>
    </r>
  </si>
  <si>
    <r>
      <rPr>
        <b/>
        <sz val="11"/>
        <color rgb="FFFF0000"/>
        <rFont val="Calibri"/>
        <family val="2"/>
        <scheme val="minor"/>
      </rPr>
      <t>Case 7:</t>
    </r>
    <r>
      <rPr>
        <b/>
        <sz val="11"/>
        <color theme="1"/>
        <rFont val="Calibri"/>
        <family val="2"/>
        <scheme val="minor"/>
      </rPr>
      <t xml:space="preserve"> 
Manual allocation changes the Gross Retention, QS, SGI Net retention and Surplus</t>
    </r>
  </si>
  <si>
    <r>
      <rPr>
        <b/>
        <sz val="11"/>
        <color rgb="FFFF0000"/>
        <rFont val="Calibri"/>
        <family val="2"/>
        <scheme val="minor"/>
      </rPr>
      <t>Case 4_1:</t>
    </r>
    <r>
      <rPr>
        <b/>
        <sz val="11"/>
        <color theme="1"/>
        <rFont val="Calibri"/>
        <family val="2"/>
        <scheme val="minor"/>
      </rPr>
      <t xml:space="preserve"> 
Manual allocation changes the Gross Retention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</si>
</sst>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0.00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">
    <xf numFmtId="0" fontId="0" fillId="0" borderId="0" xfId="0"/>
    <xf numFmtId="164" fontId="3" fillId="0" borderId="0" xfId="3" applyNumberFormat="1" applyFont="1"/>
    <xf numFmtId="9" fontId="0" fillId="0" borderId="0" xfId="0" applyNumberFormat="1"/>
    <xf numFmtId="164" fontId="0" fillId="0" borderId="0" xfId="3" applyNumberFormat="1" applyFont="1"/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0" fontId="0" fillId="0" borderId="1" xfId="2" applyNumberFormat="1" applyFont="1" applyBorder="1"/>
    <xf numFmtId="43" fontId="0" fillId="3" borderId="1" xfId="0" applyNumberFormat="1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0" fontId="2" fillId="0" borderId="1" xfId="0" applyFont="1" applyFill="1" applyBorder="1"/>
    <xf numFmtId="164" fontId="2" fillId="0" borderId="1" xfId="0" applyNumberFormat="1" applyFont="1" applyBorder="1"/>
    <xf numFmtId="0" fontId="2" fillId="2" borderId="1" xfId="0" applyFont="1" applyFill="1" applyBorder="1" applyAlignment="1">
      <alignment wrapText="1"/>
    </xf>
    <xf numFmtId="164" fontId="2" fillId="0" borderId="1" xfId="1" applyNumberFormat="1" applyFont="1" applyBorder="1"/>
    <xf numFmtId="0" fontId="0" fillId="0" borderId="1" xfId="0" applyFill="1" applyBorder="1"/>
    <xf numFmtId="43" fontId="0" fillId="0" borderId="0" xfId="0" applyNumberFormat="1"/>
    <xf numFmtId="9" fontId="0" fillId="0" borderId="0" xfId="2" applyFont="1"/>
    <xf numFmtId="0" fontId="2" fillId="4" borderId="1" xfId="0" applyFont="1" applyFill="1" applyBorder="1" applyAlignment="1">
      <alignment horizontal="center"/>
    </xf>
    <xf numFmtId="43" fontId="0" fillId="4" borderId="1" xfId="0" applyNumberFormat="1" applyFill="1" applyBorder="1"/>
    <xf numFmtId="164" fontId="0" fillId="4" borderId="1" xfId="0" applyNumberFormat="1" applyFill="1" applyBorder="1"/>
    <xf numFmtId="43" fontId="0" fillId="0" borderId="1" xfId="1" applyNumberFormat="1" applyFont="1" applyBorder="1"/>
    <xf numFmtId="43" fontId="0" fillId="0" borderId="1" xfId="1" applyFont="1" applyBorder="1"/>
    <xf numFmtId="0" fontId="2" fillId="0" borderId="1" xfId="0" applyFont="1" applyFill="1" applyBorder="1" applyAlignment="1">
      <alignment horizontal="center"/>
    </xf>
    <xf numFmtId="165" fontId="0" fillId="0" borderId="1" xfId="2" applyNumberFormat="1" applyFont="1" applyBorder="1"/>
    <xf numFmtId="165" fontId="0" fillId="0" borderId="1" xfId="0" applyNumberFormat="1" applyBorder="1"/>
    <xf numFmtId="0" fontId="2" fillId="0" borderId="0" xfId="0" applyFont="1"/>
    <xf numFmtId="10" fontId="2" fillId="0" borderId="0" xfId="0" applyNumberFormat="1" applyFont="1"/>
    <xf numFmtId="165" fontId="0" fillId="0" borderId="1" xfId="2" applyNumberFormat="1" applyFont="1" applyFill="1" applyBorder="1"/>
    <xf numFmtId="10" fontId="0" fillId="0" borderId="1" xfId="2" applyNumberFormat="1" applyFont="1" applyFill="1" applyBorder="1"/>
    <xf numFmtId="0" fontId="2" fillId="0" borderId="0" xfId="0" applyFont="1" applyFill="1" applyBorder="1"/>
    <xf numFmtId="164" fontId="2" fillId="0" borderId="0" xfId="0" applyNumberFormat="1" applyFont="1" applyBorder="1"/>
    <xf numFmtId="0" fontId="0" fillId="0" borderId="0" xfId="0" applyBorder="1"/>
    <xf numFmtId="164" fontId="0" fillId="0" borderId="0" xfId="1" applyNumberFormat="1" applyFont="1" applyBorder="1"/>
    <xf numFmtId="165" fontId="0" fillId="0" borderId="0" xfId="0" applyNumberFormat="1" applyBorder="1"/>
    <xf numFmtId="43" fontId="0" fillId="4" borderId="1" xfId="1" applyNumberFormat="1" applyFont="1" applyFill="1" applyBorder="1"/>
    <xf numFmtId="43" fontId="0" fillId="0" borderId="1" xfId="0" applyNumberFormat="1" applyBorder="1"/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84"/>
  <sheetViews>
    <sheetView tabSelected="1" topLeftCell="A49" zoomScaleNormal="100" workbookViewId="0">
      <selection activeCell="D63" sqref="D63"/>
    </sheetView>
  </sheetViews>
  <sheetFormatPr defaultRowHeight="15" x14ac:dyDescent="0.25"/>
  <cols>
    <col min="1" max="1" width="24.42578125" bestFit="1" customWidth="1"/>
    <col min="2" max="2" width="14.28515625" bestFit="1" customWidth="1"/>
    <col min="3" max="3" width="11.5703125" bestFit="1" customWidth="1"/>
    <col min="4" max="4" width="15.42578125" bestFit="1" customWidth="1"/>
    <col min="5" max="5" width="17.5703125" bestFit="1" customWidth="1"/>
    <col min="6" max="6" width="20.7109375" bestFit="1" customWidth="1"/>
    <col min="7" max="7" width="12.5703125" bestFit="1" customWidth="1"/>
    <col min="8" max="8" width="11.28515625" bestFit="1" customWidth="1"/>
    <col min="9" max="9" width="17" bestFit="1" customWidth="1"/>
    <col min="10" max="10" width="12.5703125" bestFit="1" customWidth="1"/>
    <col min="11" max="11" width="15.28515625" bestFit="1" customWidth="1"/>
    <col min="12" max="13" width="17.28515625" bestFit="1" customWidth="1"/>
    <col min="14" max="14" width="19.28515625" bestFit="1" customWidth="1"/>
    <col min="15" max="15" width="12.5703125" bestFit="1" customWidth="1"/>
    <col min="16" max="16" width="12.140625" bestFit="1" customWidth="1"/>
    <col min="17" max="17" width="15.28515625" bestFit="1" customWidth="1"/>
    <col min="18" max="18" width="14.28515625" bestFit="1" customWidth="1"/>
    <col min="19" max="19" width="11.140625" bestFit="1" customWidth="1"/>
    <col min="20" max="20" width="13.7109375" bestFit="1" customWidth="1"/>
    <col min="21" max="21" width="12" bestFit="1" customWidth="1"/>
    <col min="22" max="22" width="12.5703125" bestFit="1" customWidth="1"/>
  </cols>
  <sheetData>
    <row r="2" spans="1:22" x14ac:dyDescent="0.25">
      <c r="A2" t="s">
        <v>0</v>
      </c>
    </row>
    <row r="3" spans="1:22" x14ac:dyDescent="0.25">
      <c r="B3" t="s">
        <v>1</v>
      </c>
      <c r="C3" t="s">
        <v>2</v>
      </c>
      <c r="D3" t="s">
        <v>3</v>
      </c>
      <c r="E3" t="s">
        <v>3</v>
      </c>
    </row>
    <row r="4" spans="1:22" x14ac:dyDescent="0.25">
      <c r="A4" t="s">
        <v>4</v>
      </c>
      <c r="D4" s="1">
        <v>15000000</v>
      </c>
    </row>
    <row r="5" spans="1:22" x14ac:dyDescent="0.25">
      <c r="A5" t="s">
        <v>5</v>
      </c>
      <c r="B5" s="2">
        <v>0.25</v>
      </c>
      <c r="C5">
        <v>0</v>
      </c>
    </row>
    <row r="6" spans="1:22" x14ac:dyDescent="0.25">
      <c r="A6" t="s">
        <v>6</v>
      </c>
      <c r="D6" s="1">
        <v>3000000</v>
      </c>
    </row>
    <row r="7" spans="1:22" x14ac:dyDescent="0.25">
      <c r="A7" t="s">
        <v>7</v>
      </c>
      <c r="C7" s="3">
        <v>15000000</v>
      </c>
      <c r="D7" s="1">
        <v>300000000</v>
      </c>
      <c r="E7" s="1">
        <v>315000000</v>
      </c>
    </row>
    <row r="9" spans="1:22" x14ac:dyDescent="0.25">
      <c r="A9" s="29" t="s">
        <v>33</v>
      </c>
      <c r="B9" s="30">
        <v>5.0197000000000002E-4</v>
      </c>
      <c r="C9" s="4"/>
    </row>
    <row r="12" spans="1:22" ht="30" x14ac:dyDescent="0.25">
      <c r="A12" s="16" t="s">
        <v>35</v>
      </c>
      <c r="B12" s="5" t="s">
        <v>8</v>
      </c>
      <c r="C12" s="6" t="s">
        <v>9</v>
      </c>
      <c r="D12" s="5" t="s">
        <v>4</v>
      </c>
      <c r="E12" s="5" t="s">
        <v>10</v>
      </c>
      <c r="F12" s="21" t="s">
        <v>11</v>
      </c>
      <c r="G12" s="5" t="s">
        <v>12</v>
      </c>
      <c r="H12" s="5" t="s">
        <v>13</v>
      </c>
      <c r="I12" s="21" t="s">
        <v>14</v>
      </c>
      <c r="J12" s="5" t="s">
        <v>15</v>
      </c>
      <c r="K12" s="5" t="s">
        <v>16</v>
      </c>
      <c r="L12" s="21" t="s">
        <v>17</v>
      </c>
      <c r="M12" s="5" t="s">
        <v>18</v>
      </c>
      <c r="N12" s="5" t="s">
        <v>31</v>
      </c>
      <c r="O12" s="5" t="s">
        <v>19</v>
      </c>
      <c r="P12" s="5" t="s">
        <v>32</v>
      </c>
      <c r="Q12" s="5" t="s">
        <v>20</v>
      </c>
      <c r="R12" s="5" t="s">
        <v>21</v>
      </c>
      <c r="S12" s="21" t="s">
        <v>22</v>
      </c>
      <c r="T12" s="5" t="s">
        <v>23</v>
      </c>
      <c r="U12" s="5" t="s">
        <v>24</v>
      </c>
      <c r="V12" s="21" t="s">
        <v>25</v>
      </c>
    </row>
    <row r="13" spans="1:22" x14ac:dyDescent="0.25">
      <c r="A13" s="8" t="s">
        <v>26</v>
      </c>
      <c r="B13" s="9">
        <v>450000000</v>
      </c>
      <c r="C13" s="9">
        <f>B13*B$9</f>
        <v>225886.5</v>
      </c>
      <c r="D13" s="9">
        <f>IF(B13&gt;$D$4,$D$4,B13)</f>
        <v>15000000</v>
      </c>
      <c r="E13" s="27">
        <f>D13/B13</f>
        <v>3.3333333333333333E-2</v>
      </c>
      <c r="F13" s="22">
        <f>C13*E13</f>
        <v>7529.55</v>
      </c>
      <c r="G13" s="12">
        <f>D13*$B$5</f>
        <v>3750000</v>
      </c>
      <c r="H13" s="27">
        <f>G13/D13</f>
        <v>0.25</v>
      </c>
      <c r="I13" s="22">
        <f>F13*H13</f>
        <v>1882.3875</v>
      </c>
      <c r="J13" s="12">
        <f>D13-G13</f>
        <v>11250000</v>
      </c>
      <c r="K13" s="27">
        <f>J13/D13</f>
        <v>0.75</v>
      </c>
      <c r="L13" s="22">
        <f>F13*K13</f>
        <v>5647.1625000000004</v>
      </c>
      <c r="M13" s="9">
        <f>IF(J13&gt;$D$6,$D$6,J13)</f>
        <v>3000000</v>
      </c>
      <c r="N13" s="27">
        <f t="shared" ref="N13" si="0">M13/J13</f>
        <v>0.26666666666666666</v>
      </c>
      <c r="O13" s="9">
        <f>IF(D$6&gt;0,(J13-M13),0)</f>
        <v>8250000</v>
      </c>
      <c r="P13" s="27">
        <f t="shared" ref="P13" si="1">O13/J13</f>
        <v>0.73333333333333328</v>
      </c>
      <c r="Q13" s="9">
        <f>IF((B13-D13)&gt;$D$7,$D$7,(B13-D13))</f>
        <v>300000000</v>
      </c>
      <c r="R13" s="27">
        <f>Q13/B13</f>
        <v>0.66666666666666663</v>
      </c>
      <c r="S13" s="23">
        <f>C13*R13</f>
        <v>150591</v>
      </c>
      <c r="T13" s="12">
        <f>B13-D13-Q13</f>
        <v>135000000</v>
      </c>
      <c r="U13" s="27">
        <f>T13/B13</f>
        <v>0.3</v>
      </c>
      <c r="V13" s="22">
        <f>C13*U13</f>
        <v>67765.95</v>
      </c>
    </row>
    <row r="14" spans="1:22" x14ac:dyDescent="0.25">
      <c r="A14" s="14" t="s">
        <v>29</v>
      </c>
      <c r="B14" s="15">
        <f>SUM(B13:B13)</f>
        <v>450000000</v>
      </c>
      <c r="C14" s="15">
        <f>SUM(C13:C13)</f>
        <v>225886.5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  <c r="P14" s="8"/>
      <c r="Q14" s="8"/>
      <c r="R14" s="28"/>
      <c r="S14" s="8"/>
      <c r="T14" s="8"/>
      <c r="U14" s="28"/>
      <c r="V14" s="8"/>
    </row>
    <row r="15" spans="1:22" x14ac:dyDescent="0.25">
      <c r="A15" s="33"/>
      <c r="B15" s="34"/>
      <c r="C15" s="34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6"/>
      <c r="P15" s="35"/>
      <c r="Q15" s="35"/>
      <c r="R15" s="37"/>
      <c r="S15" s="35"/>
      <c r="T15" s="35"/>
      <c r="U15" s="37"/>
      <c r="V15" s="35"/>
    </row>
    <row r="18" spans="1:22" ht="30" x14ac:dyDescent="0.25">
      <c r="A18" s="16" t="s">
        <v>34</v>
      </c>
      <c r="B18" s="5" t="s">
        <v>8</v>
      </c>
      <c r="C18" s="6" t="s">
        <v>9</v>
      </c>
      <c r="D18" s="5" t="s">
        <v>4</v>
      </c>
      <c r="E18" s="5" t="s">
        <v>10</v>
      </c>
      <c r="F18" s="21" t="s">
        <v>11</v>
      </c>
      <c r="G18" s="5" t="s">
        <v>12</v>
      </c>
      <c r="H18" s="5" t="s">
        <v>13</v>
      </c>
      <c r="I18" s="21" t="s">
        <v>14</v>
      </c>
      <c r="J18" s="5" t="s">
        <v>15</v>
      </c>
      <c r="K18" s="5" t="s">
        <v>16</v>
      </c>
      <c r="L18" s="21" t="s">
        <v>17</v>
      </c>
      <c r="M18" s="5" t="s">
        <v>18</v>
      </c>
      <c r="N18" s="5" t="s">
        <v>31</v>
      </c>
      <c r="O18" s="5" t="s">
        <v>19</v>
      </c>
      <c r="P18" s="5" t="s">
        <v>32</v>
      </c>
      <c r="Q18" s="5" t="s">
        <v>20</v>
      </c>
      <c r="R18" s="5" t="s">
        <v>21</v>
      </c>
      <c r="S18" s="21" t="s">
        <v>22</v>
      </c>
      <c r="T18" s="5" t="s">
        <v>23</v>
      </c>
      <c r="U18" s="5" t="s">
        <v>24</v>
      </c>
      <c r="V18" s="21" t="s">
        <v>25</v>
      </c>
    </row>
    <row r="19" spans="1:22" x14ac:dyDescent="0.25">
      <c r="A19" s="8" t="s">
        <v>26</v>
      </c>
      <c r="B19" s="9">
        <v>450000000</v>
      </c>
      <c r="C19" s="9">
        <f>B19*B$9</f>
        <v>225886.5</v>
      </c>
      <c r="D19" s="9">
        <f>IF(B19&gt;$D$4,$D$4,B19)</f>
        <v>15000000</v>
      </c>
      <c r="E19" s="27">
        <f>D19/B19</f>
        <v>3.3333333333333333E-2</v>
      </c>
      <c r="F19" s="22">
        <f>C19*E19</f>
        <v>7529.55</v>
      </c>
      <c r="G19" s="12">
        <f>D19*$B$5</f>
        <v>3750000</v>
      </c>
      <c r="H19" s="27">
        <f>G19/D19</f>
        <v>0.25</v>
      </c>
      <c r="I19" s="22">
        <f>F19*H19</f>
        <v>1882.3875</v>
      </c>
      <c r="J19" s="12">
        <f>D19-G19</f>
        <v>11250000</v>
      </c>
      <c r="K19" s="27">
        <f>J19/D19</f>
        <v>0.75</v>
      </c>
      <c r="L19" s="22">
        <f>F19*K19</f>
        <v>5647.1625000000004</v>
      </c>
      <c r="M19" s="9">
        <f>IF(J19&gt;$D$6,$D$6,J19)</f>
        <v>3000000</v>
      </c>
      <c r="N19" s="27">
        <f t="shared" ref="N19:N21" si="2">M19/J19</f>
        <v>0.26666666666666666</v>
      </c>
      <c r="O19" s="9">
        <f>IF(D$6&gt;0,(J19-M19),0)</f>
        <v>8250000</v>
      </c>
      <c r="P19" s="27">
        <f t="shared" ref="P19:P21" si="3">O19/J19</f>
        <v>0.73333333333333328</v>
      </c>
      <c r="Q19" s="9">
        <f>IF((B19-D19)&gt;$D$7,$D$7,(B19-D19))</f>
        <v>300000000</v>
      </c>
      <c r="R19" s="27">
        <f>Q19/B19</f>
        <v>0.66666666666666663</v>
      </c>
      <c r="S19" s="23">
        <f>C19*R19</f>
        <v>150591</v>
      </c>
      <c r="T19" s="12">
        <f>B19-D19-Q19</f>
        <v>135000000</v>
      </c>
      <c r="U19" s="27">
        <f>T19/B19</f>
        <v>0.3</v>
      </c>
      <c r="V19" s="22">
        <f>C19*U19</f>
        <v>67765.95</v>
      </c>
    </row>
    <row r="20" spans="1:22" x14ac:dyDescent="0.25">
      <c r="A20" s="8" t="s">
        <v>27</v>
      </c>
      <c r="B20" s="9">
        <v>4500000</v>
      </c>
      <c r="C20" s="9">
        <f t="shared" ref="C20:C21" si="4">B20*B$9</f>
        <v>2258.8650000000002</v>
      </c>
      <c r="D20" s="9">
        <f>IF(B20&gt;$D$4,$D$4,B20)</f>
        <v>4500000</v>
      </c>
      <c r="E20" s="27">
        <f>D20/B20</f>
        <v>1</v>
      </c>
      <c r="F20" s="22">
        <f t="shared" ref="F20:F21" si="5">C20*E20</f>
        <v>2258.8650000000002</v>
      </c>
      <c r="G20" s="12">
        <f>D20*$B$5</f>
        <v>1125000</v>
      </c>
      <c r="H20" s="27">
        <f>G20/D20</f>
        <v>0.25</v>
      </c>
      <c r="I20" s="22">
        <f t="shared" ref="I20:I21" si="6">F20*H20</f>
        <v>564.71625000000006</v>
      </c>
      <c r="J20" s="12">
        <f>D20-G20</f>
        <v>3375000</v>
      </c>
      <c r="K20" s="27">
        <f>J20/D20</f>
        <v>0.75</v>
      </c>
      <c r="L20" s="22">
        <f t="shared" ref="L20:L21" si="7">F20*K20</f>
        <v>1694.1487500000003</v>
      </c>
      <c r="M20" s="9">
        <f>IF(J20&gt;$D$6,$D$6,J20)</f>
        <v>3000000</v>
      </c>
      <c r="N20" s="27">
        <f t="shared" si="2"/>
        <v>0.88888888888888884</v>
      </c>
      <c r="O20" s="9">
        <f>IF(D$6&gt;0,(J20-M20),0)</f>
        <v>375000</v>
      </c>
      <c r="P20" s="27">
        <f t="shared" si="3"/>
        <v>0.1111111111111111</v>
      </c>
      <c r="Q20" s="9">
        <f>IF((B20-D20)&gt;$D$7,$D$7,(B20-D20))</f>
        <v>0</v>
      </c>
      <c r="R20" s="27">
        <f>Q20/B20</f>
        <v>0</v>
      </c>
      <c r="S20" s="23">
        <f>C20*R20</f>
        <v>0</v>
      </c>
      <c r="T20" s="12">
        <f>B20-D20-Q20</f>
        <v>0</v>
      </c>
      <c r="U20" s="27">
        <f>T20/B20</f>
        <v>0</v>
      </c>
      <c r="V20" s="22">
        <f>C20*U20</f>
        <v>0</v>
      </c>
    </row>
    <row r="21" spans="1:22" x14ac:dyDescent="0.25">
      <c r="A21" s="8" t="s">
        <v>28</v>
      </c>
      <c r="B21" s="9">
        <v>125000000</v>
      </c>
      <c r="C21" s="9">
        <f t="shared" si="4"/>
        <v>62746.25</v>
      </c>
      <c r="D21" s="9">
        <f>IF(B21&gt;$D$4,$D$4,B21)</f>
        <v>15000000</v>
      </c>
      <c r="E21" s="27">
        <f>D21/B21</f>
        <v>0.12</v>
      </c>
      <c r="F21" s="22">
        <f t="shared" si="5"/>
        <v>7529.5499999999993</v>
      </c>
      <c r="G21" s="12">
        <f>D21*$B$5</f>
        <v>3750000</v>
      </c>
      <c r="H21" s="27">
        <f>G21/D21</f>
        <v>0.25</v>
      </c>
      <c r="I21" s="22">
        <f t="shared" si="6"/>
        <v>1882.3874999999998</v>
      </c>
      <c r="J21" s="12">
        <f>D21-G21</f>
        <v>11250000</v>
      </c>
      <c r="K21" s="27">
        <f>J21/D21</f>
        <v>0.75</v>
      </c>
      <c r="L21" s="22">
        <f t="shared" si="7"/>
        <v>5647.1624999999995</v>
      </c>
      <c r="M21" s="9">
        <f>IF(J21&gt;$D$6,$D$6,J21)</f>
        <v>3000000</v>
      </c>
      <c r="N21" s="27">
        <f t="shared" si="2"/>
        <v>0.26666666666666666</v>
      </c>
      <c r="O21" s="9">
        <f>IF(D$6&gt;0,(J21-M21),0)</f>
        <v>8250000</v>
      </c>
      <c r="P21" s="27">
        <f t="shared" si="3"/>
        <v>0.73333333333333328</v>
      </c>
      <c r="Q21" s="9">
        <f>IF((B21-D21)&gt;$D$7,$D$7,(B21-D21))</f>
        <v>110000000</v>
      </c>
      <c r="R21" s="27">
        <f>Q21/B21</f>
        <v>0.88</v>
      </c>
      <c r="S21" s="23">
        <f>C21*R21</f>
        <v>55216.7</v>
      </c>
      <c r="T21" s="12">
        <f>B21-D21-Q21</f>
        <v>0</v>
      </c>
      <c r="U21" s="27">
        <f>T21/B21</f>
        <v>0</v>
      </c>
      <c r="V21" s="22">
        <f>C21*U21</f>
        <v>0</v>
      </c>
    </row>
    <row r="22" spans="1:22" x14ac:dyDescent="0.25">
      <c r="A22" s="14" t="s">
        <v>29</v>
      </c>
      <c r="B22" s="15">
        <f>SUM(B19:B21)</f>
        <v>579500000</v>
      </c>
      <c r="C22" s="15">
        <f>SUM(C19:C21)</f>
        <v>290891.61499999999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8"/>
      <c r="Q22" s="8"/>
      <c r="R22" s="28"/>
      <c r="S22" s="8"/>
      <c r="T22" s="8"/>
      <c r="U22" s="28"/>
      <c r="V22" s="8"/>
    </row>
    <row r="24" spans="1:22" x14ac:dyDescent="0.25">
      <c r="A24" s="40" t="s">
        <v>36</v>
      </c>
      <c r="B24" s="41"/>
      <c r="C24" s="42"/>
    </row>
    <row r="27" spans="1:22" ht="75" x14ac:dyDescent="0.25">
      <c r="A27" s="16" t="s">
        <v>42</v>
      </c>
      <c r="B27" s="5" t="s">
        <v>8</v>
      </c>
      <c r="C27" s="6" t="s">
        <v>9</v>
      </c>
      <c r="D27" s="5" t="s">
        <v>4</v>
      </c>
      <c r="E27" s="5" t="s">
        <v>10</v>
      </c>
      <c r="F27" s="7" t="s">
        <v>11</v>
      </c>
      <c r="G27" s="5" t="s">
        <v>12</v>
      </c>
      <c r="H27" s="5" t="s">
        <v>13</v>
      </c>
      <c r="I27" s="7" t="s">
        <v>14</v>
      </c>
      <c r="J27" s="5" t="s">
        <v>15</v>
      </c>
      <c r="K27" s="5" t="s">
        <v>16</v>
      </c>
      <c r="L27" s="7" t="s">
        <v>17</v>
      </c>
      <c r="M27" s="5" t="s">
        <v>18</v>
      </c>
      <c r="N27" s="5" t="s">
        <v>31</v>
      </c>
      <c r="O27" s="5" t="s">
        <v>19</v>
      </c>
      <c r="P27" s="5" t="s">
        <v>32</v>
      </c>
      <c r="Q27" s="5" t="s">
        <v>20</v>
      </c>
      <c r="R27" s="5" t="s">
        <v>21</v>
      </c>
      <c r="S27" s="7" t="s">
        <v>22</v>
      </c>
      <c r="T27" s="5" t="s">
        <v>23</v>
      </c>
      <c r="U27" s="5" t="s">
        <v>24</v>
      </c>
      <c r="V27" s="7" t="s">
        <v>25</v>
      </c>
    </row>
    <row r="28" spans="1:22" x14ac:dyDescent="0.25">
      <c r="A28" s="8" t="s">
        <v>26</v>
      </c>
      <c r="B28" s="9">
        <v>450000000</v>
      </c>
      <c r="C28" s="9">
        <f t="shared" ref="C28" si="8">B28*B$9</f>
        <v>225886.5</v>
      </c>
      <c r="D28" s="9">
        <f>IF(MAX(B$34:B$36)&gt;$D$4,$D$4,MAX(B$34:B$36))/MAX(B$34:B$36)*B28</f>
        <v>15000000</v>
      </c>
      <c r="E28" s="27">
        <f>D28/B28</f>
        <v>3.3333333333333333E-2</v>
      </c>
      <c r="F28" s="11">
        <f>C28*E28</f>
        <v>7529.55</v>
      </c>
      <c r="G28" s="12">
        <f>D28*$B$5</f>
        <v>3750000</v>
      </c>
      <c r="H28" s="27">
        <f>G28/D28</f>
        <v>0.25</v>
      </c>
      <c r="I28" s="11">
        <f>F28*H28</f>
        <v>1882.3875</v>
      </c>
      <c r="J28" s="12">
        <f>D28-G28</f>
        <v>11250000</v>
      </c>
      <c r="K28" s="27">
        <f>J28/D28</f>
        <v>0.75</v>
      </c>
      <c r="L28" s="11">
        <f>F28*K28</f>
        <v>5647.1625000000004</v>
      </c>
      <c r="M28" s="24">
        <f>(IF(MAX(J28:J28)&gt;$D$6,$D$6,MAX(J28:J28)))/MAX(J28:J28)*J28</f>
        <v>3000000</v>
      </c>
      <c r="N28" s="27">
        <f>M28/J28</f>
        <v>0.26666666666666666</v>
      </c>
      <c r="O28" s="25">
        <f>IF(D$6&gt;0,(J28-M28),0)</f>
        <v>8250000</v>
      </c>
      <c r="P28" s="27">
        <f t="shared" ref="P28" si="9">O28/J28</f>
        <v>0.73333333333333328</v>
      </c>
      <c r="Q28" s="9">
        <f xml:space="preserve"> IF((MAX(B$34:B$36)-MAX(D$34:D$36))&gt;$D$7,$D$7,(MAX(B$34:B$36)-MAX(D$34:D$36)))/MAX(B$34:B$36)*B28</f>
        <v>300000000</v>
      </c>
      <c r="R28" s="31">
        <f>Q28/B28</f>
        <v>0.66666666666666663</v>
      </c>
      <c r="S28" s="13">
        <f>C28*R28</f>
        <v>150591</v>
      </c>
      <c r="T28" s="12">
        <f>B28-D28-Q28</f>
        <v>135000000</v>
      </c>
      <c r="U28" s="27">
        <f>T28/B28</f>
        <v>0.3</v>
      </c>
      <c r="V28" s="11">
        <f>C28*U28</f>
        <v>67765.95</v>
      </c>
    </row>
    <row r="29" spans="1:22" x14ac:dyDescent="0.25">
      <c r="A29" s="14" t="s">
        <v>29</v>
      </c>
      <c r="B29" s="17">
        <f>SUM(B28:B28)</f>
        <v>450000000</v>
      </c>
      <c r="C29" s="17">
        <f>SUM(C28:C28)</f>
        <v>225886.5</v>
      </c>
      <c r="D29" s="9"/>
      <c r="E29" s="27"/>
      <c r="F29" s="11"/>
      <c r="G29" s="12"/>
      <c r="H29" s="10"/>
      <c r="I29" s="11"/>
      <c r="J29" s="12"/>
      <c r="K29" s="10"/>
      <c r="L29" s="11"/>
      <c r="M29" s="9"/>
      <c r="N29" s="8"/>
      <c r="O29" s="25"/>
      <c r="P29" s="8"/>
      <c r="Q29" s="9"/>
      <c r="R29" s="32"/>
      <c r="S29" s="13"/>
      <c r="T29" s="12"/>
      <c r="U29" s="10"/>
      <c r="V29" s="11"/>
    </row>
    <row r="33" spans="1:22" ht="75" x14ac:dyDescent="0.25">
      <c r="A33" s="16" t="s">
        <v>41</v>
      </c>
      <c r="B33" s="5" t="s">
        <v>8</v>
      </c>
      <c r="C33" s="6" t="s">
        <v>9</v>
      </c>
      <c r="D33" s="5" t="s">
        <v>4</v>
      </c>
      <c r="E33" s="5" t="s">
        <v>10</v>
      </c>
      <c r="F33" s="7" t="s">
        <v>11</v>
      </c>
      <c r="G33" s="5" t="s">
        <v>12</v>
      </c>
      <c r="H33" s="5" t="s">
        <v>13</v>
      </c>
      <c r="I33" s="7" t="s">
        <v>14</v>
      </c>
      <c r="J33" s="5" t="s">
        <v>15</v>
      </c>
      <c r="K33" s="5" t="s">
        <v>16</v>
      </c>
      <c r="L33" s="7" t="s">
        <v>17</v>
      </c>
      <c r="M33" s="5" t="s">
        <v>18</v>
      </c>
      <c r="N33" s="5" t="s">
        <v>31</v>
      </c>
      <c r="O33" s="5" t="s">
        <v>19</v>
      </c>
      <c r="P33" s="5" t="s">
        <v>32</v>
      </c>
      <c r="Q33" s="5" t="s">
        <v>20</v>
      </c>
      <c r="R33" s="5" t="s">
        <v>21</v>
      </c>
      <c r="S33" s="7" t="s">
        <v>22</v>
      </c>
      <c r="T33" s="5" t="s">
        <v>23</v>
      </c>
      <c r="U33" s="5" t="s">
        <v>24</v>
      </c>
      <c r="V33" s="7" t="s">
        <v>25</v>
      </c>
    </row>
    <row r="34" spans="1:22" x14ac:dyDescent="0.25">
      <c r="A34" s="8" t="s">
        <v>26</v>
      </c>
      <c r="B34" s="9">
        <v>450000000</v>
      </c>
      <c r="C34" s="9">
        <f t="shared" ref="C34:C36" si="10">B34*B$9</f>
        <v>225886.5</v>
      </c>
      <c r="D34" s="9">
        <f>IF(MAX(B$34:B$36)&gt;$D$4,$D$4,MAX(B$34:B$36))/MAX(B$34:B$36)*B34</f>
        <v>15000000</v>
      </c>
      <c r="E34" s="27">
        <f>D34/B34</f>
        <v>3.3333333333333333E-2</v>
      </c>
      <c r="F34" s="11">
        <f>C34*E34</f>
        <v>7529.55</v>
      </c>
      <c r="G34" s="12">
        <f>D34*$B$5</f>
        <v>3750000</v>
      </c>
      <c r="H34" s="27">
        <f>G34/D34</f>
        <v>0.25</v>
      </c>
      <c r="I34" s="11">
        <f>F34*H34</f>
        <v>1882.3875</v>
      </c>
      <c r="J34" s="12">
        <f>D34-G34</f>
        <v>11250000</v>
      </c>
      <c r="K34" s="27">
        <f>J34/D34</f>
        <v>0.75</v>
      </c>
      <c r="L34" s="11">
        <f>F34*K34</f>
        <v>5647.1625000000004</v>
      </c>
      <c r="M34" s="24">
        <f>(IF(MAX(J34:J36)&gt;$D$6,$D$6,MAX(J34:J36)))/MAX(J34:J36)*J34</f>
        <v>3000000</v>
      </c>
      <c r="N34" s="27">
        <f>M34/J34</f>
        <v>0.26666666666666666</v>
      </c>
      <c r="O34" s="25">
        <f>IF(D$6&gt;0,(J34-M34),0)</f>
        <v>8250000</v>
      </c>
      <c r="P34" s="27">
        <f t="shared" ref="P34:P36" si="11">O34/J34</f>
        <v>0.73333333333333328</v>
      </c>
      <c r="Q34" s="9">
        <f xml:space="preserve"> IF((MAX(B$34:B$36)-MAX(D$34:D$36))&gt;$D$7,$D$7,(MAX(B$34:B$36)-MAX(D$34:D$36)))/MAX(B$34:B$36)*B34</f>
        <v>300000000</v>
      </c>
      <c r="R34" s="31">
        <f>Q34/B34</f>
        <v>0.66666666666666663</v>
      </c>
      <c r="S34" s="13">
        <f>C34*R34</f>
        <v>150591</v>
      </c>
      <c r="T34" s="12">
        <f>B34-D34-Q34</f>
        <v>135000000</v>
      </c>
      <c r="U34" s="27">
        <f>T34/B34</f>
        <v>0.3</v>
      </c>
      <c r="V34" s="11">
        <f>C34*U34</f>
        <v>67765.95</v>
      </c>
    </row>
    <row r="35" spans="1:22" x14ac:dyDescent="0.25">
      <c r="A35" s="8" t="s">
        <v>27</v>
      </c>
      <c r="B35" s="9">
        <v>4500000</v>
      </c>
      <c r="C35" s="9">
        <f t="shared" si="10"/>
        <v>2258.8650000000002</v>
      </c>
      <c r="D35" s="9">
        <f>IF(MAX(B$34:B$36)&gt;$D$4,$D$4,MAX(B$34:B$36))/MAX(B$34:B$36)*B35</f>
        <v>150000</v>
      </c>
      <c r="E35" s="27">
        <f>D35/B35</f>
        <v>3.3333333333333333E-2</v>
      </c>
      <c r="F35" s="11">
        <f>C35*E35</f>
        <v>75.295500000000004</v>
      </c>
      <c r="G35" s="12">
        <f>D35*$B$5</f>
        <v>37500</v>
      </c>
      <c r="H35" s="27">
        <f>G35/D35</f>
        <v>0.25</v>
      </c>
      <c r="I35" s="11">
        <f t="shared" ref="I35:I36" si="12">F35*H35</f>
        <v>18.823875000000001</v>
      </c>
      <c r="J35" s="12">
        <f>D35-G35</f>
        <v>112500</v>
      </c>
      <c r="K35" s="27">
        <f>J35/D35</f>
        <v>0.75</v>
      </c>
      <c r="L35" s="11">
        <f t="shared" ref="L35:L36" si="13">F35*K35</f>
        <v>56.471625000000003</v>
      </c>
      <c r="M35" s="24">
        <f>(IF(MAX(J34:J36)&gt;$D$6,$D$6,MAX(J34:J36)))/MAX(J34:J36)*J35</f>
        <v>30000</v>
      </c>
      <c r="N35" s="27">
        <f>M35/J35</f>
        <v>0.26666666666666666</v>
      </c>
      <c r="O35" s="25">
        <f>IF(D$6&gt;0,(J35-M35),0)</f>
        <v>82500</v>
      </c>
      <c r="P35" s="27">
        <f t="shared" si="11"/>
        <v>0.73333333333333328</v>
      </c>
      <c r="Q35" s="9">
        <f xml:space="preserve"> IF((MAX(B$34:B$36)-MAX(D$34:D$36))&gt;$D$7,$D$7,(MAX(B$34:B$36)-MAX(D$34:D$36)))/MAX(B$34:B$36)*B35</f>
        <v>3000000</v>
      </c>
      <c r="R35" s="31">
        <f>Q35/B35</f>
        <v>0.66666666666666663</v>
      </c>
      <c r="S35" s="13">
        <f>C35*R35</f>
        <v>1505.91</v>
      </c>
      <c r="T35" s="12">
        <f>B35-D35-Q35</f>
        <v>1350000</v>
      </c>
      <c r="U35" s="27">
        <f>T35/B35</f>
        <v>0.3</v>
      </c>
      <c r="V35" s="11">
        <f>C35*U35</f>
        <v>677.65950000000009</v>
      </c>
    </row>
    <row r="36" spans="1:22" x14ac:dyDescent="0.25">
      <c r="A36" s="8" t="s">
        <v>28</v>
      </c>
      <c r="B36" s="9">
        <v>125000000</v>
      </c>
      <c r="C36" s="9">
        <f t="shared" si="10"/>
        <v>62746.25</v>
      </c>
      <c r="D36" s="9">
        <f>IF(MAX(B$34:B$36)&gt;$D$4,$D$4,MAX(B$34:B$36))/MAX(B$34:B$36)*B36</f>
        <v>4166666.6666666665</v>
      </c>
      <c r="E36" s="27">
        <f>D36/B36</f>
        <v>3.3333333333333333E-2</v>
      </c>
      <c r="F36" s="11">
        <f>C36*E36</f>
        <v>2091.5416666666665</v>
      </c>
      <c r="G36" s="12">
        <f>D36*$B$5</f>
        <v>1041666.6666666666</v>
      </c>
      <c r="H36" s="27">
        <f>G36/D36</f>
        <v>0.25</v>
      </c>
      <c r="I36" s="11">
        <f t="shared" si="12"/>
        <v>522.88541666666663</v>
      </c>
      <c r="J36" s="12">
        <f>D36-G36</f>
        <v>3125000</v>
      </c>
      <c r="K36" s="27">
        <f>J36/D36</f>
        <v>0.75</v>
      </c>
      <c r="L36" s="11">
        <f t="shared" si="13"/>
        <v>1568.65625</v>
      </c>
      <c r="M36" s="24">
        <f>(IF(MAX(J34:J36)&gt;$D$6,$D$6,MAX(J34:J36)))/MAX(J34:J36)*J36</f>
        <v>833333.33333333337</v>
      </c>
      <c r="N36" s="27">
        <f>M36/J36</f>
        <v>0.26666666666666666</v>
      </c>
      <c r="O36" s="25">
        <f>IF(D$6&gt;0,(J36-M36),0)</f>
        <v>2291666.6666666665</v>
      </c>
      <c r="P36" s="27">
        <f t="shared" si="11"/>
        <v>0.73333333333333328</v>
      </c>
      <c r="Q36" s="9">
        <f xml:space="preserve"> IF((MAX(B$34:B$36)-MAX(D$34:D$36))&gt;$D$7,$D$7,(MAX(B$34:B$36)-MAX(D$34:D$36)))/MAX(B$34:B$36)*B36</f>
        <v>83333333.333333328</v>
      </c>
      <c r="R36" s="31">
        <f>Q36/B36</f>
        <v>0.66666666666666663</v>
      </c>
      <c r="S36" s="13">
        <f>C36*R36</f>
        <v>41830.833333333328</v>
      </c>
      <c r="T36" s="12">
        <f>B36-D36-Q36</f>
        <v>37500000</v>
      </c>
      <c r="U36" s="27">
        <f>T36/B36</f>
        <v>0.3</v>
      </c>
      <c r="V36" s="11">
        <f>C36*U36</f>
        <v>18823.875</v>
      </c>
    </row>
    <row r="37" spans="1:22" x14ac:dyDescent="0.25">
      <c r="A37" s="14" t="s">
        <v>29</v>
      </c>
      <c r="B37" s="17">
        <f>SUM(B34:B36)</f>
        <v>579500000</v>
      </c>
      <c r="C37" s="17">
        <f>SUM(C34:C36)</f>
        <v>290891.61499999999</v>
      </c>
      <c r="D37" s="9"/>
      <c r="E37" s="27"/>
      <c r="F37" s="11"/>
      <c r="G37" s="12"/>
      <c r="H37" s="10"/>
      <c r="I37" s="11"/>
      <c r="J37" s="12"/>
      <c r="K37" s="10"/>
      <c r="L37" s="11"/>
      <c r="M37" s="9"/>
      <c r="N37" s="8"/>
      <c r="O37" s="25"/>
      <c r="P37" s="8"/>
      <c r="Q37" s="9"/>
      <c r="R37" s="32"/>
      <c r="S37" s="13"/>
      <c r="T37" s="12"/>
      <c r="U37" s="10"/>
      <c r="V37" s="11"/>
    </row>
    <row r="40" spans="1:22" ht="75" x14ac:dyDescent="0.25">
      <c r="A40" s="16" t="s">
        <v>40</v>
      </c>
      <c r="B40" s="5" t="s">
        <v>8</v>
      </c>
      <c r="C40" s="6" t="s">
        <v>9</v>
      </c>
      <c r="D40" s="5" t="s">
        <v>4</v>
      </c>
      <c r="E40" s="5" t="s">
        <v>10</v>
      </c>
      <c r="F40" s="7" t="s">
        <v>11</v>
      </c>
      <c r="G40" s="5" t="s">
        <v>12</v>
      </c>
      <c r="H40" s="5" t="s">
        <v>13</v>
      </c>
      <c r="I40" s="7" t="s">
        <v>14</v>
      </c>
      <c r="J40" s="5" t="s">
        <v>15</v>
      </c>
      <c r="K40" s="5" t="s">
        <v>16</v>
      </c>
      <c r="L40" s="7" t="s">
        <v>17</v>
      </c>
      <c r="M40" s="5" t="s">
        <v>18</v>
      </c>
      <c r="N40" s="5" t="s">
        <v>31</v>
      </c>
      <c r="O40" s="5" t="s">
        <v>19</v>
      </c>
      <c r="P40" s="5" t="s">
        <v>32</v>
      </c>
      <c r="Q40" s="5" t="s">
        <v>20</v>
      </c>
      <c r="R40" s="5" t="s">
        <v>21</v>
      </c>
      <c r="S40" s="7" t="s">
        <v>22</v>
      </c>
      <c r="T40" s="5" t="s">
        <v>23</v>
      </c>
      <c r="U40" s="5" t="s">
        <v>24</v>
      </c>
      <c r="V40" s="7" t="s">
        <v>25</v>
      </c>
    </row>
    <row r="41" spans="1:22" x14ac:dyDescent="0.25">
      <c r="A41" s="8" t="s">
        <v>26</v>
      </c>
      <c r="B41" s="9">
        <v>450000000</v>
      </c>
      <c r="C41" s="9">
        <f>B41*B$9</f>
        <v>225886.5</v>
      </c>
      <c r="D41" s="9">
        <f>IF(MAX(B$41:B$44)&gt;$D$4,$D$4,MAX(B$41:B$44))/MAX(B$41:B$44)*B41</f>
        <v>11250000</v>
      </c>
      <c r="E41" s="27">
        <f>D41/B41</f>
        <v>2.5000000000000001E-2</v>
      </c>
      <c r="F41" s="11">
        <f>C41*E41</f>
        <v>5647.1625000000004</v>
      </c>
      <c r="G41" s="12">
        <f>D41*$B$5</f>
        <v>2812500</v>
      </c>
      <c r="H41" s="27">
        <f>G41/D41</f>
        <v>0.25</v>
      </c>
      <c r="I41" s="11">
        <f>F41*H41</f>
        <v>1411.7906250000001</v>
      </c>
      <c r="J41" s="12">
        <f>D41-G41</f>
        <v>8437500</v>
      </c>
      <c r="K41" s="27">
        <f>J41/D41</f>
        <v>0.75</v>
      </c>
      <c r="L41" s="11">
        <f>F41*K41</f>
        <v>4235.3718750000007</v>
      </c>
      <c r="M41" s="24">
        <f>(IF(MAX(J$41:J$44)&gt;$D$6,$D$6,MAX(J$41:J$44)))/MAX(J$41:J$44)*J41</f>
        <v>2250000</v>
      </c>
      <c r="N41" s="27">
        <f>M41/J41</f>
        <v>0.26666666666666666</v>
      </c>
      <c r="O41" s="9">
        <f>IF(D$6&gt;0,(J41-M41),0)</f>
        <v>6187500</v>
      </c>
      <c r="P41" s="27">
        <f>O41/J41</f>
        <v>0.73333333333333328</v>
      </c>
      <c r="Q41" s="9">
        <f xml:space="preserve"> IF((MAX(B$41:B$44)-MAX(D$41:D$44))&gt;$D$7,$D$7,(MAX(B$41:B$44)-MAX(D$41:D$44)))/MAX(B$41:B$44)*B41</f>
        <v>225000000</v>
      </c>
      <c r="R41" s="31">
        <f>Q41/B41</f>
        <v>0.5</v>
      </c>
      <c r="S41" s="13">
        <f>C41*R41</f>
        <v>112943.25</v>
      </c>
      <c r="T41" s="12">
        <f>B41-D41-Q41</f>
        <v>213750000</v>
      </c>
      <c r="U41" s="27">
        <f>T41/B41</f>
        <v>0.47499999999999998</v>
      </c>
      <c r="V41" s="11">
        <f>C41*U41</f>
        <v>107296.08749999999</v>
      </c>
    </row>
    <row r="42" spans="1:22" x14ac:dyDescent="0.25">
      <c r="A42" s="8" t="s">
        <v>27</v>
      </c>
      <c r="B42" s="9">
        <v>4500000</v>
      </c>
      <c r="C42" s="9">
        <f t="shared" ref="C42:C44" si="14">B42*B$9</f>
        <v>2258.8650000000002</v>
      </c>
      <c r="D42" s="9">
        <f>IF(MAX(B$41:B$44)&gt;$D$4,$D$4,MAX(B$41:B$44))/MAX(B$41:B$44)*B42</f>
        <v>112500</v>
      </c>
      <c r="E42" s="27">
        <f>D42/B42</f>
        <v>2.5000000000000001E-2</v>
      </c>
      <c r="F42" s="11">
        <f>C42*E42</f>
        <v>56.47162500000001</v>
      </c>
      <c r="G42" s="12">
        <f>D42*$B$5</f>
        <v>28125</v>
      </c>
      <c r="H42" s="27">
        <f>G42/D42</f>
        <v>0.25</v>
      </c>
      <c r="I42" s="11">
        <f t="shared" ref="I42:I43" si="15">F42*H42</f>
        <v>14.117906250000003</v>
      </c>
      <c r="J42" s="12">
        <f>D42-G42</f>
        <v>84375</v>
      </c>
      <c r="K42" s="27">
        <f>J42/D42</f>
        <v>0.75</v>
      </c>
      <c r="L42" s="11">
        <f t="shared" ref="L42:L44" si="16">F42*K42</f>
        <v>42.353718750000006</v>
      </c>
      <c r="M42" s="24">
        <f>(IF(MAX(J$41:J$44)&gt;$D$6,$D$6,MAX(J$41:J$44)))/MAX(J$41:J$44)*J42</f>
        <v>22500</v>
      </c>
      <c r="N42" s="27">
        <f>M42/J42</f>
        <v>0.26666666666666666</v>
      </c>
      <c r="O42" s="9">
        <f>IF(D$6&gt;0,(J42-M42),0)</f>
        <v>61875</v>
      </c>
      <c r="P42" s="27">
        <f t="shared" ref="P42:P44" si="17">O42/J42</f>
        <v>0.73333333333333328</v>
      </c>
      <c r="Q42" s="9">
        <f xml:space="preserve"> IF((MAX(B$41:B$44)-MAX(D$41:D$44))&gt;$D$7,$D$7,(MAX(B$41:B$44)-MAX(D$41:D$44)))/MAX(B$41:B$44)*B42</f>
        <v>2250000</v>
      </c>
      <c r="R42" s="31">
        <f>Q42/B42</f>
        <v>0.5</v>
      </c>
      <c r="S42" s="13">
        <f>C42*R42</f>
        <v>1129.4325000000001</v>
      </c>
      <c r="T42" s="12">
        <f>B42-D42-Q42</f>
        <v>2137500</v>
      </c>
      <c r="U42" s="27">
        <f>T42/B42</f>
        <v>0.47499999999999998</v>
      </c>
      <c r="V42" s="11">
        <f>C42*U42</f>
        <v>1072.960875</v>
      </c>
    </row>
    <row r="43" spans="1:22" x14ac:dyDescent="0.25">
      <c r="A43" s="8" t="s">
        <v>28</v>
      </c>
      <c r="B43" s="9">
        <v>125000000</v>
      </c>
      <c r="C43" s="9">
        <f t="shared" si="14"/>
        <v>62746.25</v>
      </c>
      <c r="D43" s="9">
        <f>IF(MAX(B$41:B$44)&gt;$D$4,$D$4,MAX(B$41:B$44))/MAX(B$41:B$44)*B43</f>
        <v>3125000</v>
      </c>
      <c r="E43" s="27">
        <f>D43/B43</f>
        <v>2.5000000000000001E-2</v>
      </c>
      <c r="F43" s="11">
        <f t="shared" ref="F43" si="18">C43*E43</f>
        <v>1568.65625</v>
      </c>
      <c r="G43" s="12">
        <f>D43*$B$5</f>
        <v>781250</v>
      </c>
      <c r="H43" s="27">
        <f>G43/D43</f>
        <v>0.25</v>
      </c>
      <c r="I43" s="11">
        <f t="shared" si="15"/>
        <v>392.1640625</v>
      </c>
      <c r="J43" s="12">
        <f>D43-G43</f>
        <v>2343750</v>
      </c>
      <c r="K43" s="27">
        <f>J43/D43</f>
        <v>0.75</v>
      </c>
      <c r="L43" s="11">
        <f t="shared" si="16"/>
        <v>1176.4921875</v>
      </c>
      <c r="M43" s="24">
        <f>(IF(MAX(J$41:J$44)&gt;$D$6,$D$6,MAX(J$41:J$44)))/MAX(J$41:J$44)*J43</f>
        <v>625000</v>
      </c>
      <c r="N43" s="27">
        <f t="shared" ref="N43:N44" si="19">M43/J43</f>
        <v>0.26666666666666666</v>
      </c>
      <c r="O43" s="9">
        <f>IF(D$6&gt;0,(J43-M43),0)</f>
        <v>1718750</v>
      </c>
      <c r="P43" s="27">
        <f t="shared" si="17"/>
        <v>0.73333333333333328</v>
      </c>
      <c r="Q43" s="9">
        <f xml:space="preserve"> IF((MAX(B$41:B$44)-MAX(D$41:D$44))&gt;$D$7,$D$7,(MAX(B$41:B$44)-MAX(D$41:D$44)))/MAX(B$41:B$44)*B43</f>
        <v>62500000</v>
      </c>
      <c r="R43" s="31">
        <f>Q43/B43</f>
        <v>0.5</v>
      </c>
      <c r="S43" s="13">
        <f>C43*R43</f>
        <v>31373.125</v>
      </c>
      <c r="T43" s="12">
        <f>B43-D43-Q43</f>
        <v>59375000</v>
      </c>
      <c r="U43" s="27">
        <f>T43/B43</f>
        <v>0.47499999999999998</v>
      </c>
      <c r="V43" s="11">
        <f>C43*U43</f>
        <v>29804.46875</v>
      </c>
    </row>
    <row r="44" spans="1:22" x14ac:dyDescent="0.25">
      <c r="A44" s="18" t="s">
        <v>30</v>
      </c>
      <c r="B44" s="9">
        <v>600000000</v>
      </c>
      <c r="C44" s="9">
        <f t="shared" si="14"/>
        <v>301182</v>
      </c>
      <c r="D44" s="9">
        <f>IF(MAX(B$41:B$44)&gt;$D$4,$D$4,MAX(B$41:B$44))/MAX(B$41:B$44)*B44</f>
        <v>15000000</v>
      </c>
      <c r="E44" s="27">
        <f>D44/B44</f>
        <v>2.5000000000000001E-2</v>
      </c>
      <c r="F44" s="11">
        <f>C44*E44</f>
        <v>7529.55</v>
      </c>
      <c r="G44" s="12">
        <f>D44*$B$5</f>
        <v>3750000</v>
      </c>
      <c r="H44" s="27">
        <f>G44/D44</f>
        <v>0.25</v>
      </c>
      <c r="I44" s="11">
        <f>F44*H44</f>
        <v>1882.3875</v>
      </c>
      <c r="J44" s="12">
        <f>D44-G44</f>
        <v>11250000</v>
      </c>
      <c r="K44" s="27">
        <f>J44/D44</f>
        <v>0.75</v>
      </c>
      <c r="L44" s="11">
        <f t="shared" si="16"/>
        <v>5647.1625000000004</v>
      </c>
      <c r="M44" s="24">
        <f>(IF(MAX(J$41:J$44)&gt;$D$6,$D$6,MAX(J$41:J$44)))/MAX(J$41:J$44)*J44</f>
        <v>3000000</v>
      </c>
      <c r="N44" s="27">
        <f t="shared" si="19"/>
        <v>0.26666666666666666</v>
      </c>
      <c r="O44" s="9">
        <f>IF(D$6&gt;0,(J44-M44),0)</f>
        <v>8250000</v>
      </c>
      <c r="P44" s="27">
        <f t="shared" si="17"/>
        <v>0.73333333333333328</v>
      </c>
      <c r="Q44" s="9">
        <f xml:space="preserve"> IF((MAX(B$41:B$44)-MAX(D$41:D$44))&gt;$D$7,$D$7,(MAX(B$41:B$44)-MAX(D$41:D$44)))/MAX(B$41:B$44)*B44</f>
        <v>300000000</v>
      </c>
      <c r="R44" s="31">
        <f>Q44/B44</f>
        <v>0.5</v>
      </c>
      <c r="S44" s="13">
        <f>C44*R44</f>
        <v>150591</v>
      </c>
      <c r="T44" s="12">
        <f>B44-D44-Q44</f>
        <v>285000000</v>
      </c>
      <c r="U44" s="27">
        <f>T44/B44</f>
        <v>0.47499999999999998</v>
      </c>
      <c r="V44" s="11">
        <f>C44*U44</f>
        <v>143061.44999999998</v>
      </c>
    </row>
    <row r="45" spans="1:22" x14ac:dyDescent="0.25">
      <c r="A45" s="14" t="s">
        <v>29</v>
      </c>
      <c r="B45" s="15">
        <f>SUM(B41:B44)</f>
        <v>1179500000</v>
      </c>
      <c r="C45" s="15">
        <f>SUM(C41:C44)</f>
        <v>592073.61499999999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27"/>
      <c r="O45" s="8"/>
      <c r="P45" s="27"/>
      <c r="Q45" s="8"/>
      <c r="R45" s="18"/>
      <c r="S45" s="8"/>
      <c r="T45" s="8"/>
      <c r="U45" s="8"/>
      <c r="V45" s="8"/>
    </row>
    <row r="46" spans="1:22" x14ac:dyDescent="0.25">
      <c r="B46" s="19"/>
    </row>
    <row r="47" spans="1:22" x14ac:dyDescent="0.25">
      <c r="B47" s="4"/>
      <c r="C47" s="4"/>
    </row>
    <row r="48" spans="1:22" x14ac:dyDescent="0.25">
      <c r="B48" s="4"/>
      <c r="C48" s="20"/>
      <c r="D48" s="4"/>
    </row>
    <row r="49" spans="1:22" ht="60" x14ac:dyDescent="0.25">
      <c r="A49" s="16" t="s">
        <v>43</v>
      </c>
      <c r="B49" s="5" t="s">
        <v>8</v>
      </c>
      <c r="C49" s="6" t="s">
        <v>9</v>
      </c>
      <c r="D49" s="5" t="s">
        <v>4</v>
      </c>
      <c r="E49" s="5" t="s">
        <v>10</v>
      </c>
      <c r="F49" s="7" t="s">
        <v>11</v>
      </c>
      <c r="G49" s="5" t="s">
        <v>12</v>
      </c>
      <c r="H49" s="5" t="s">
        <v>13</v>
      </c>
      <c r="I49" s="7" t="s">
        <v>14</v>
      </c>
      <c r="J49" s="5" t="s">
        <v>15</v>
      </c>
      <c r="K49" s="5" t="s">
        <v>16</v>
      </c>
      <c r="L49" s="7" t="s">
        <v>17</v>
      </c>
      <c r="M49" s="5" t="s">
        <v>18</v>
      </c>
      <c r="N49" s="5" t="s">
        <v>31</v>
      </c>
      <c r="O49" s="5" t="s">
        <v>19</v>
      </c>
      <c r="P49" s="5" t="s">
        <v>32</v>
      </c>
      <c r="Q49" s="5" t="s">
        <v>20</v>
      </c>
      <c r="R49" s="5" t="s">
        <v>21</v>
      </c>
      <c r="S49" s="7" t="s">
        <v>22</v>
      </c>
      <c r="T49" s="5" t="s">
        <v>23</v>
      </c>
      <c r="U49" s="5" t="s">
        <v>24</v>
      </c>
      <c r="V49" s="7" t="s">
        <v>25</v>
      </c>
    </row>
    <row r="50" spans="1:22" x14ac:dyDescent="0.25">
      <c r="A50" s="8" t="s">
        <v>26</v>
      </c>
      <c r="B50" s="9">
        <v>450000000</v>
      </c>
      <c r="C50" s="9">
        <f>B50*B$9</f>
        <v>225886.5</v>
      </c>
      <c r="D50" s="24">
        <f>INDEX(D$50:D$53,MATCH(MAX(B$50:B$53),B$50:B$53,0))/MAX(B$50:B$53)*B50</f>
        <v>9375000</v>
      </c>
      <c r="E50" s="27">
        <f>D50/B50</f>
        <v>2.0833333333333332E-2</v>
      </c>
      <c r="F50" s="11">
        <f>C50*E50</f>
        <v>4705.96875</v>
      </c>
      <c r="G50" s="12">
        <f>D50*$B$5</f>
        <v>2343750</v>
      </c>
      <c r="H50" s="27">
        <f>G50/D50</f>
        <v>0.25</v>
      </c>
      <c r="I50" s="11">
        <f>F50*H50</f>
        <v>1176.4921875</v>
      </c>
      <c r="J50" s="12">
        <f>D50-G50</f>
        <v>7031250</v>
      </c>
      <c r="K50" s="27">
        <f>J50/D50</f>
        <v>0.75</v>
      </c>
      <c r="L50" s="11">
        <f>F50*K50</f>
        <v>3529.4765625</v>
      </c>
      <c r="M50" s="24">
        <f>(IF(MAX(J$50:J$53)&gt;$D$6,$D$6,MAX(J$50:J$53)))/MAX(J$50:J$53)*J50</f>
        <v>2250000</v>
      </c>
      <c r="N50" s="27">
        <f>M50/J50</f>
        <v>0.32</v>
      </c>
      <c r="O50" s="9">
        <f>IF(D$6&gt;0,(J50-M50),0)</f>
        <v>4781250</v>
      </c>
      <c r="P50" s="27">
        <f>O50/J50</f>
        <v>0.68</v>
      </c>
      <c r="Q50" s="9">
        <f xml:space="preserve"> IF((MAX(B$50:B$53)-MAX(D$50:D$53))&gt;$D$7,$D$7,(MAX(B$50:B$53)-MAX(D$50:D$53)))/MAX(B$50:B$53)*B50</f>
        <v>225000000</v>
      </c>
      <c r="R50" s="31">
        <f>Q50/B50</f>
        <v>0.5</v>
      </c>
      <c r="S50" s="13">
        <f>C50*R50</f>
        <v>112943.25</v>
      </c>
      <c r="T50" s="12">
        <f>B50-D50-Q50</f>
        <v>215625000</v>
      </c>
      <c r="U50" s="27">
        <f>T50/B50</f>
        <v>0.47916666666666669</v>
      </c>
      <c r="V50" s="11">
        <f>C50*U50</f>
        <v>108237.28125</v>
      </c>
    </row>
    <row r="51" spans="1:22" x14ac:dyDescent="0.25">
      <c r="A51" s="8" t="s">
        <v>27</v>
      </c>
      <c r="B51" s="9">
        <v>4500000</v>
      </c>
      <c r="C51" s="9">
        <f t="shared" ref="C51:C52" si="20">B51*B$9</f>
        <v>2258.8650000000002</v>
      </c>
      <c r="D51" s="24">
        <f t="shared" ref="D51:D52" si="21">INDEX(D$50:D$53,MATCH(MAX(B$50:B$53),B$50:B$53,0))/MAX(B$50:B$53)*B51</f>
        <v>93750</v>
      </c>
      <c r="E51" s="27">
        <f>D51/B51</f>
        <v>2.0833333333333332E-2</v>
      </c>
      <c r="F51" s="11">
        <f>C51*E51</f>
        <v>47.059687500000003</v>
      </c>
      <c r="G51" s="12">
        <f>D51*$B$5</f>
        <v>23437.5</v>
      </c>
      <c r="H51" s="27">
        <f>G51/D51</f>
        <v>0.25</v>
      </c>
      <c r="I51" s="11">
        <f t="shared" ref="I51:I52" si="22">F51*H51</f>
        <v>11.764921875000001</v>
      </c>
      <c r="J51" s="12">
        <f>D51-G51</f>
        <v>70312.5</v>
      </c>
      <c r="K51" s="27">
        <f>J51/D51</f>
        <v>0.75</v>
      </c>
      <c r="L51" s="11">
        <f t="shared" ref="L51:L53" si="23">F51*K51</f>
        <v>35.294765625000004</v>
      </c>
      <c r="M51" s="24">
        <f>(IF(MAX(J$50:J$53)&gt;$D$6,$D$6,MAX(J$50:J$53)))/MAX(J$50:J$53)*J51</f>
        <v>22500</v>
      </c>
      <c r="N51" s="27">
        <f>M51/J51</f>
        <v>0.32</v>
      </c>
      <c r="O51" s="9">
        <f>IF(D$6&gt;0,(J51-M51),0)</f>
        <v>47812.5</v>
      </c>
      <c r="P51" s="27">
        <f t="shared" ref="P51:P53" si="24">O51/J51</f>
        <v>0.68</v>
      </c>
      <c r="Q51" s="9">
        <f t="shared" ref="Q51:Q53" si="25" xml:space="preserve"> IF((MAX(B$50:B$53)-MAX(D$50:D$53))&gt;$D$7,$D$7,(MAX(B$50:B$53)-MAX(D$50:D$53)))/MAX(B$50:B$53)*B51</f>
        <v>2250000</v>
      </c>
      <c r="R51" s="31">
        <f>Q51/B51</f>
        <v>0.5</v>
      </c>
      <c r="S51" s="13">
        <f>C51*R51</f>
        <v>1129.4325000000001</v>
      </c>
      <c r="T51" s="12">
        <f>B51-D51-Q51</f>
        <v>2156250</v>
      </c>
      <c r="U51" s="27">
        <f>T51/B51</f>
        <v>0.47916666666666669</v>
      </c>
      <c r="V51" s="11">
        <f>C51*U51</f>
        <v>1082.3728125000002</v>
      </c>
    </row>
    <row r="52" spans="1:22" x14ac:dyDescent="0.25">
      <c r="A52" s="8" t="s">
        <v>28</v>
      </c>
      <c r="B52" s="9">
        <v>125000000</v>
      </c>
      <c r="C52" s="9">
        <f t="shared" si="20"/>
        <v>62746.25</v>
      </c>
      <c r="D52" s="24">
        <f>INDEX(D$50:D$53,MATCH(MAX(B$50:B$53),B$50:B$53,0))/MAX(B$50:B$53)*B52</f>
        <v>2604166.6666666665</v>
      </c>
      <c r="E52" s="27">
        <f>D52/B52</f>
        <v>2.0833333333333332E-2</v>
      </c>
      <c r="F52" s="11">
        <f t="shared" ref="F52" si="26">C52*E52</f>
        <v>1307.2135416666665</v>
      </c>
      <c r="G52" s="12">
        <f>D52*$B$5</f>
        <v>651041.66666666663</v>
      </c>
      <c r="H52" s="27">
        <f>G52/D52</f>
        <v>0.25</v>
      </c>
      <c r="I52" s="11">
        <f t="shared" si="22"/>
        <v>326.80338541666663</v>
      </c>
      <c r="J52" s="12">
        <f>D52-G52</f>
        <v>1953125</v>
      </c>
      <c r="K52" s="27">
        <f>J52/D52</f>
        <v>0.75</v>
      </c>
      <c r="L52" s="11">
        <f t="shared" si="23"/>
        <v>980.41015624999989</v>
      </c>
      <c r="M52" s="24">
        <f>(IF(MAX(J$50:J$53)&gt;$D$6,$D$6,MAX(J$50:J$53)))/MAX(J$50:J$53)*J52</f>
        <v>625000</v>
      </c>
      <c r="N52" s="27">
        <f t="shared" ref="N52" si="27">M52/J52</f>
        <v>0.32</v>
      </c>
      <c r="O52" s="9">
        <f>IF(D$6&gt;0,(J52-M52),0)</f>
        <v>1328125</v>
      </c>
      <c r="P52" s="27">
        <f t="shared" si="24"/>
        <v>0.68</v>
      </c>
      <c r="Q52" s="9">
        <f t="shared" si="25"/>
        <v>62500000</v>
      </c>
      <c r="R52" s="31">
        <f>Q52/B52</f>
        <v>0.5</v>
      </c>
      <c r="S52" s="13">
        <f>C52*R52</f>
        <v>31373.125</v>
      </c>
      <c r="T52" s="12">
        <f>B52-D52-Q52</f>
        <v>59895833.333333328</v>
      </c>
      <c r="U52" s="27">
        <f>T52/B52</f>
        <v>0.47916666666666663</v>
      </c>
      <c r="V52" s="11">
        <f>C52*U52</f>
        <v>30065.911458333332</v>
      </c>
    </row>
    <row r="53" spans="1:22" x14ac:dyDescent="0.25">
      <c r="A53" s="18" t="s">
        <v>30</v>
      </c>
      <c r="B53" s="9">
        <v>600000000</v>
      </c>
      <c r="C53" s="9">
        <f>B53*B$9</f>
        <v>301182</v>
      </c>
      <c r="D53" s="38">
        <v>12500000</v>
      </c>
      <c r="E53" s="27">
        <f>D53/B53</f>
        <v>2.0833333333333332E-2</v>
      </c>
      <c r="F53" s="11">
        <f>C53*E53</f>
        <v>6274.625</v>
      </c>
      <c r="G53" s="12">
        <f>D53*$B$5</f>
        <v>3125000</v>
      </c>
      <c r="H53" s="27">
        <f>G53/D53</f>
        <v>0.25</v>
      </c>
      <c r="I53" s="11">
        <f>F53*H53</f>
        <v>1568.65625</v>
      </c>
      <c r="J53" s="12">
        <f>D53-G53</f>
        <v>9375000</v>
      </c>
      <c r="K53" s="27">
        <f>J53/D53</f>
        <v>0.75</v>
      </c>
      <c r="L53" s="11">
        <f t="shared" si="23"/>
        <v>4705.96875</v>
      </c>
      <c r="M53" s="24">
        <f>(IF(MAX(J$50:J$53)&gt;$D$6,$D$6,MAX(J$50:J$53)))/MAX(J$50:J$53)*J53</f>
        <v>3000000</v>
      </c>
      <c r="N53" s="27">
        <f>M53/J53</f>
        <v>0.32</v>
      </c>
      <c r="O53" s="9">
        <f>IF(D$6&gt;0,(J53-M53),0)</f>
        <v>6375000</v>
      </c>
      <c r="P53" s="27">
        <f t="shared" si="24"/>
        <v>0.68</v>
      </c>
      <c r="Q53" s="9">
        <f t="shared" si="25"/>
        <v>300000000</v>
      </c>
      <c r="R53" s="31">
        <f>Q53/B53</f>
        <v>0.5</v>
      </c>
      <c r="S53" s="13">
        <f>C53*R53</f>
        <v>150591</v>
      </c>
      <c r="T53" s="12">
        <f>B53-D53-Q53</f>
        <v>287500000</v>
      </c>
      <c r="U53" s="27">
        <f>T53/B53</f>
        <v>0.47916666666666669</v>
      </c>
      <c r="V53" s="11">
        <f>C53*U53</f>
        <v>144316.375</v>
      </c>
    </row>
    <row r="54" spans="1:22" x14ac:dyDescent="0.25">
      <c r="A54" s="14" t="s">
        <v>29</v>
      </c>
      <c r="B54" s="15">
        <f>SUM(B50:B53)</f>
        <v>1179500000</v>
      </c>
      <c r="C54" s="15">
        <f>SUM(C50:C53)</f>
        <v>592073.61499999999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27"/>
      <c r="O54" s="8"/>
      <c r="P54" s="27"/>
      <c r="Q54" s="8"/>
      <c r="R54" s="18"/>
      <c r="S54" s="8"/>
      <c r="T54" s="8"/>
      <c r="U54" s="8"/>
      <c r="V54" s="8"/>
    </row>
    <row r="56" spans="1:22" ht="60" x14ac:dyDescent="0.25">
      <c r="A56" s="16" t="s">
        <v>47</v>
      </c>
      <c r="B56" s="5" t="s">
        <v>8</v>
      </c>
      <c r="C56" s="6" t="s">
        <v>9</v>
      </c>
      <c r="D56" s="5" t="s">
        <v>4</v>
      </c>
      <c r="E56" s="5" t="s">
        <v>10</v>
      </c>
      <c r="F56" s="7" t="s">
        <v>11</v>
      </c>
      <c r="G56" s="5" t="s">
        <v>12</v>
      </c>
      <c r="H56" s="5" t="s">
        <v>13</v>
      </c>
      <c r="I56" s="7" t="s">
        <v>14</v>
      </c>
      <c r="J56" s="5" t="s">
        <v>15</v>
      </c>
      <c r="K56" s="5" t="s">
        <v>16</v>
      </c>
      <c r="L56" s="7" t="s">
        <v>17</v>
      </c>
      <c r="M56" s="5" t="s">
        <v>18</v>
      </c>
      <c r="N56" s="5" t="s">
        <v>31</v>
      </c>
      <c r="O56" s="5" t="s">
        <v>19</v>
      </c>
      <c r="P56" s="5" t="s">
        <v>32</v>
      </c>
      <c r="Q56" s="5" t="s">
        <v>20</v>
      </c>
      <c r="R56" s="5" t="s">
        <v>21</v>
      </c>
      <c r="S56" s="7" t="s">
        <v>22</v>
      </c>
      <c r="T56" s="5" t="s">
        <v>23</v>
      </c>
      <c r="U56" s="5" t="s">
        <v>24</v>
      </c>
      <c r="V56" s="7" t="s">
        <v>25</v>
      </c>
    </row>
    <row r="57" spans="1:22" x14ac:dyDescent="0.25">
      <c r="A57" s="8" t="s">
        <v>26</v>
      </c>
      <c r="B57" s="9">
        <v>450000000</v>
      </c>
      <c r="C57" s="9">
        <f>B57*B$9</f>
        <v>225886.5</v>
      </c>
      <c r="D57" s="24">
        <f>INDEX(D$57:D$60,MATCH(MAX(B$57:B$60),B$57:B$60,0))/MAX(B$57:B$60)*B57</f>
        <v>9375000</v>
      </c>
      <c r="E57" s="27">
        <f>D57/B57</f>
        <v>2.0833333333333332E-2</v>
      </c>
      <c r="F57" s="11">
        <f>C57*E57</f>
        <v>4705.96875</v>
      </c>
      <c r="G57" s="12">
        <f>D57*$B$5</f>
        <v>2343750</v>
      </c>
      <c r="H57" s="27">
        <f>G57/D57</f>
        <v>0.25</v>
      </c>
      <c r="I57" s="11">
        <f>F57*H57</f>
        <v>1176.4921875</v>
      </c>
      <c r="J57" s="12">
        <f>D57-G57</f>
        <v>7031250</v>
      </c>
      <c r="K57" s="27">
        <f>J57/D57</f>
        <v>0.75</v>
      </c>
      <c r="L57" s="11">
        <f>F57*K57</f>
        <v>3529.4765625</v>
      </c>
      <c r="M57" s="24">
        <f>(IF(MAX(J$57:J$60)&gt;$D$6,$D$6,MAX(J$57:J$60)))/MAX(J$57:J$60)*J57</f>
        <v>2250000</v>
      </c>
      <c r="N57" s="27">
        <f>M57/J57</f>
        <v>0.32</v>
      </c>
      <c r="O57" s="9">
        <f>IF(D$6&gt;0,(J57-M57),0)</f>
        <v>4781250</v>
      </c>
      <c r="P57" s="27">
        <f>O57/J57</f>
        <v>0.68</v>
      </c>
      <c r="Q57" s="9">
        <f xml:space="preserve"> IF((MAX(B$57:B$60)-MAX(D$57:D$60))&gt;$D$7,$D$7,(MAX(B$57:B$60)-MAX(D$57:D$60)))/MAX(B$57:B$60)*B57</f>
        <v>225000000</v>
      </c>
      <c r="R57" s="31">
        <f>Q57/B57</f>
        <v>0.5</v>
      </c>
      <c r="S57" s="13">
        <f>C57*R57</f>
        <v>112943.25</v>
      </c>
      <c r="T57" s="12">
        <f>B57-D57-Q57</f>
        <v>215625000</v>
      </c>
      <c r="U57" s="27">
        <f>T57/B57</f>
        <v>0.47916666666666669</v>
      </c>
      <c r="V57" s="11">
        <f>C57*U57</f>
        <v>108237.28125</v>
      </c>
    </row>
    <row r="58" spans="1:22" x14ac:dyDescent="0.25">
      <c r="A58" s="8" t="s">
        <v>27</v>
      </c>
      <c r="B58" s="9">
        <v>4500000</v>
      </c>
      <c r="C58" s="9">
        <f t="shared" ref="C58:C59" si="28">B58*B$9</f>
        <v>2258.8650000000002</v>
      </c>
      <c r="D58" s="24">
        <f t="shared" ref="D58:D59" si="29">INDEX(D$57:D$60,MATCH(MAX(B$57:B$60),B$57:B$60,0))/MAX(B$57:B$60)*B58</f>
        <v>93750</v>
      </c>
      <c r="E58" s="27">
        <f>D58/B58</f>
        <v>2.0833333333333332E-2</v>
      </c>
      <c r="F58" s="11">
        <f>C58*E58</f>
        <v>47.059687500000003</v>
      </c>
      <c r="G58" s="12">
        <f>D58*$B$5</f>
        <v>23437.5</v>
      </c>
      <c r="H58" s="27">
        <f>G58/D58</f>
        <v>0.25</v>
      </c>
      <c r="I58" s="11">
        <f t="shared" ref="I58:I59" si="30">F58*H58</f>
        <v>11.764921875000001</v>
      </c>
      <c r="J58" s="12">
        <f>D58-G58</f>
        <v>70312.5</v>
      </c>
      <c r="K58" s="27">
        <f>J58/D58</f>
        <v>0.75</v>
      </c>
      <c r="L58" s="11">
        <f t="shared" ref="L58:L60" si="31">F58*K58</f>
        <v>35.294765625000004</v>
      </c>
      <c r="M58" s="24">
        <f t="shared" ref="M58:M60" si="32">(IF(MAX(J$57:J$60)&gt;$D$6,$D$6,MAX(J$57:J$60)))/MAX(J$57:J$60)*J58</f>
        <v>22500</v>
      </c>
      <c r="N58" s="27">
        <f>M58/J58</f>
        <v>0.32</v>
      </c>
      <c r="O58" s="9">
        <f>IF(D$6&gt;0,(J58-M58),0)</f>
        <v>47812.5</v>
      </c>
      <c r="P58" s="27">
        <f t="shared" ref="P58:P60" si="33">O58/J58</f>
        <v>0.68</v>
      </c>
      <c r="Q58" s="9">
        <f t="shared" ref="Q58:Q60" si="34" xml:space="preserve"> IF((MAX(B$57:B$60)-MAX(D$57:D$60))&gt;$D$7,$D$7,(MAX(B$57:B$60)-MAX(D$57:D$60)))/MAX(B$57:B$60)*B58</f>
        <v>2250000</v>
      </c>
      <c r="R58" s="31">
        <f>Q58/B58</f>
        <v>0.5</v>
      </c>
      <c r="S58" s="13">
        <f>C58*R58</f>
        <v>1129.4325000000001</v>
      </c>
      <c r="T58" s="12">
        <f>B58-D58-Q58</f>
        <v>2156250</v>
      </c>
      <c r="U58" s="27">
        <f>T58/B58</f>
        <v>0.47916666666666669</v>
      </c>
      <c r="V58" s="11">
        <f>C58*U58</f>
        <v>1082.3728125000002</v>
      </c>
    </row>
    <row r="59" spans="1:22" x14ac:dyDescent="0.25">
      <c r="A59" s="8" t="s">
        <v>28</v>
      </c>
      <c r="B59" s="9">
        <v>125000000</v>
      </c>
      <c r="C59" s="9">
        <f t="shared" si="28"/>
        <v>62746.25</v>
      </c>
      <c r="D59" s="24">
        <f t="shared" si="29"/>
        <v>2604166.6666666665</v>
      </c>
      <c r="E59" s="27">
        <f>D59/B59</f>
        <v>2.0833333333333332E-2</v>
      </c>
      <c r="F59" s="11">
        <f t="shared" ref="F59" si="35">C59*E59</f>
        <v>1307.2135416666665</v>
      </c>
      <c r="G59" s="12">
        <f>D59*$B$5</f>
        <v>651041.66666666663</v>
      </c>
      <c r="H59" s="27">
        <f>G59/D59</f>
        <v>0.25</v>
      </c>
      <c r="I59" s="11">
        <f t="shared" si="30"/>
        <v>326.80338541666663</v>
      </c>
      <c r="J59" s="12">
        <f>D59-G59</f>
        <v>1953125</v>
      </c>
      <c r="K59" s="27">
        <f>J59/D59</f>
        <v>0.75</v>
      </c>
      <c r="L59" s="11">
        <f t="shared" si="31"/>
        <v>980.41015624999989</v>
      </c>
      <c r="M59" s="24">
        <f t="shared" si="32"/>
        <v>625000</v>
      </c>
      <c r="N59" s="27">
        <f t="shared" ref="N59" si="36">M59/J59</f>
        <v>0.32</v>
      </c>
      <c r="O59" s="9">
        <f>IF(D$6&gt;0,(J59-M59),0)</f>
        <v>1328125</v>
      </c>
      <c r="P59" s="27">
        <f t="shared" si="33"/>
        <v>0.68</v>
      </c>
      <c r="Q59" s="9">
        <f t="shared" si="34"/>
        <v>62500000</v>
      </c>
      <c r="R59" s="31">
        <f>Q59/B59</f>
        <v>0.5</v>
      </c>
      <c r="S59" s="13">
        <f>C59*R59</f>
        <v>31373.125</v>
      </c>
      <c r="T59" s="12">
        <f>B59-D59-Q59</f>
        <v>59895833.333333328</v>
      </c>
      <c r="U59" s="27">
        <f>T59/B59</f>
        <v>0.47916666666666663</v>
      </c>
      <c r="V59" s="11">
        <f>C59*U59</f>
        <v>30065.911458333332</v>
      </c>
    </row>
    <row r="60" spans="1:22" x14ac:dyDescent="0.25">
      <c r="A60" s="18" t="s">
        <v>30</v>
      </c>
      <c r="B60" s="9">
        <v>600000000</v>
      </c>
      <c r="C60" s="9">
        <f>B60*B$9</f>
        <v>301182</v>
      </c>
      <c r="D60" s="38">
        <v>12500000</v>
      </c>
      <c r="E60" s="27">
        <f>D60/B60</f>
        <v>2.0833333333333332E-2</v>
      </c>
      <c r="F60" s="11">
        <f>C60*E60</f>
        <v>6274.625</v>
      </c>
      <c r="G60" s="12">
        <f>D60*$B$5</f>
        <v>3125000</v>
      </c>
      <c r="H60" s="27">
        <f>G60/D60</f>
        <v>0.25</v>
      </c>
      <c r="I60" s="11">
        <f>F60*H60</f>
        <v>1568.65625</v>
      </c>
      <c r="J60" s="12">
        <f>D60-G60</f>
        <v>9375000</v>
      </c>
      <c r="K60" s="27">
        <f>J60/D60</f>
        <v>0.75</v>
      </c>
      <c r="L60" s="11">
        <f t="shared" si="31"/>
        <v>4705.96875</v>
      </c>
      <c r="M60" s="24">
        <f t="shared" si="32"/>
        <v>3000000</v>
      </c>
      <c r="N60" s="27">
        <f>M60/J60</f>
        <v>0.32</v>
      </c>
      <c r="O60" s="9">
        <f>IF(D$6&gt;0,(J60-M60),0)</f>
        <v>6375000</v>
      </c>
      <c r="P60" s="27">
        <f t="shared" si="33"/>
        <v>0.68</v>
      </c>
      <c r="Q60" s="9">
        <f t="shared" si="34"/>
        <v>300000000</v>
      </c>
      <c r="R60" s="31">
        <f>Q60/B60</f>
        <v>0.5</v>
      </c>
      <c r="S60" s="13">
        <f>C60*R60</f>
        <v>150591</v>
      </c>
      <c r="T60" s="12">
        <f>B60-D60-Q60</f>
        <v>287500000</v>
      </c>
      <c r="U60" s="27">
        <f>T60/B60</f>
        <v>0.47916666666666669</v>
      </c>
      <c r="V60" s="11">
        <f>C60*U60</f>
        <v>144316.375</v>
      </c>
    </row>
    <row r="61" spans="1:22" x14ac:dyDescent="0.25">
      <c r="A61" s="14" t="s">
        <v>29</v>
      </c>
      <c r="B61" s="15">
        <f>SUM(B57:B60)</f>
        <v>1179500000</v>
      </c>
      <c r="C61" s="15">
        <f>SUM(C57:C60)</f>
        <v>592073.61499999999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27"/>
      <c r="O61" s="8"/>
      <c r="P61" s="27"/>
      <c r="Q61" s="8"/>
      <c r="R61" s="18"/>
      <c r="S61" s="8"/>
      <c r="T61" s="8"/>
      <c r="U61" s="8"/>
      <c r="V61" s="8"/>
    </row>
    <row r="63" spans="1:22" ht="75" x14ac:dyDescent="0.25">
      <c r="A63" s="16" t="s">
        <v>44</v>
      </c>
      <c r="B63" s="5" t="s">
        <v>8</v>
      </c>
      <c r="C63" s="6" t="s">
        <v>9</v>
      </c>
      <c r="D63" s="5" t="s">
        <v>4</v>
      </c>
      <c r="E63" s="5" t="s">
        <v>10</v>
      </c>
      <c r="F63" s="7" t="s">
        <v>11</v>
      </c>
      <c r="G63" s="5" t="s">
        <v>12</v>
      </c>
      <c r="H63" s="5" t="s">
        <v>13</v>
      </c>
      <c r="I63" s="7" t="s">
        <v>14</v>
      </c>
      <c r="J63" s="5" t="s">
        <v>15</v>
      </c>
      <c r="K63" s="5" t="s">
        <v>16</v>
      </c>
      <c r="L63" s="7" t="s">
        <v>17</v>
      </c>
      <c r="M63" s="5" t="s">
        <v>18</v>
      </c>
      <c r="N63" s="5" t="s">
        <v>31</v>
      </c>
      <c r="O63" s="5" t="s">
        <v>19</v>
      </c>
      <c r="P63" s="5" t="s">
        <v>32</v>
      </c>
      <c r="Q63" s="5" t="s">
        <v>20</v>
      </c>
      <c r="R63" s="5" t="s">
        <v>21</v>
      </c>
      <c r="S63" s="7" t="s">
        <v>22</v>
      </c>
      <c r="T63" s="5" t="s">
        <v>23</v>
      </c>
      <c r="U63" s="5" t="s">
        <v>24</v>
      </c>
      <c r="V63" s="7" t="s">
        <v>25</v>
      </c>
    </row>
    <row r="64" spans="1:22" x14ac:dyDescent="0.25">
      <c r="A64" s="8" t="s">
        <v>26</v>
      </c>
      <c r="B64" s="9">
        <v>450000000</v>
      </c>
      <c r="C64" s="9">
        <f>B64*B$9</f>
        <v>225886.5</v>
      </c>
      <c r="D64" s="24">
        <f t="shared" ref="D64:D65" si="37">INDEX(D$50:D$53,MATCH(MAX(B$50:B$53),B$50:B$53,0))/MAX(B$50:B$53)*B64</f>
        <v>9375000</v>
      </c>
      <c r="E64" s="27">
        <f>D64/B64</f>
        <v>2.0833333333333332E-2</v>
      </c>
      <c r="F64" s="11">
        <f>C64*E64</f>
        <v>4705.96875</v>
      </c>
      <c r="G64" s="12">
        <f>D64*$B$5</f>
        <v>2343750</v>
      </c>
      <c r="H64" s="27">
        <f>G64/D64</f>
        <v>0.25</v>
      </c>
      <c r="I64" s="11">
        <f>F64*H64</f>
        <v>1176.4921875</v>
      </c>
      <c r="J64" s="12">
        <f>D64-G64</f>
        <v>7031250</v>
      </c>
      <c r="K64" s="27">
        <f>J64/D64</f>
        <v>0.75</v>
      </c>
      <c r="L64" s="11">
        <f>F64*K64</f>
        <v>3529.4765625</v>
      </c>
      <c r="M64" s="39">
        <f t="shared" ref="M64:M65" si="38">INDEX(M$64:M$67,MATCH(MAX(B$64:B$67),B$64:B$67,0))/MAX(J$64:J$67)*J64</f>
        <v>1725000</v>
      </c>
      <c r="N64" s="27">
        <f t="shared" ref="N64:N65" si="39">M64/J64</f>
        <v>0.24533333333333332</v>
      </c>
      <c r="O64" s="9">
        <f>IF(D$6&gt;0,(J64-M64),0)</f>
        <v>5306250</v>
      </c>
      <c r="P64" s="27">
        <f>O64/J64</f>
        <v>0.75466666666666671</v>
      </c>
      <c r="Q64" s="9">
        <f xml:space="preserve"> IF((MAX(B$41:B$44)-MAX(D$41:D$44))&gt;$D$7,$D$7,(MAX(B$41:B$44)-MAX(D$41:D$44)))/MAX(B$41:B$44)*B64</f>
        <v>225000000</v>
      </c>
      <c r="R64" s="31">
        <f>Q64/B64</f>
        <v>0.5</v>
      </c>
      <c r="S64" s="13">
        <f>C64*R64</f>
        <v>112943.25</v>
      </c>
      <c r="T64" s="12">
        <f>B64-D64-Q64</f>
        <v>215625000</v>
      </c>
      <c r="U64" s="27">
        <f>T64/B64</f>
        <v>0.47916666666666669</v>
      </c>
      <c r="V64" s="11">
        <f>C64*U64</f>
        <v>108237.28125</v>
      </c>
    </row>
    <row r="65" spans="1:22" x14ac:dyDescent="0.25">
      <c r="A65" s="8" t="s">
        <v>27</v>
      </c>
      <c r="B65" s="9">
        <v>4500000</v>
      </c>
      <c r="C65" s="9">
        <f t="shared" ref="C65:C67" si="40">B65*B$9</f>
        <v>2258.8650000000002</v>
      </c>
      <c r="D65" s="24">
        <f t="shared" si="37"/>
        <v>93750</v>
      </c>
      <c r="E65" s="27">
        <f>D65/B65</f>
        <v>2.0833333333333332E-2</v>
      </c>
      <c r="F65" s="11">
        <f>C65*E65</f>
        <v>47.059687500000003</v>
      </c>
      <c r="G65" s="12">
        <f>D65*$B$5</f>
        <v>23437.5</v>
      </c>
      <c r="H65" s="27">
        <f>G65/D65</f>
        <v>0.25</v>
      </c>
      <c r="I65" s="11">
        <f t="shared" ref="I65:I66" si="41">F65*H65</f>
        <v>11.764921875000001</v>
      </c>
      <c r="J65" s="12">
        <f>D65-G65</f>
        <v>70312.5</v>
      </c>
      <c r="K65" s="27">
        <f>J65/D65</f>
        <v>0.75</v>
      </c>
      <c r="L65" s="11">
        <f t="shared" ref="L65:L67" si="42">F65*K65</f>
        <v>35.294765625000004</v>
      </c>
      <c r="M65" s="39">
        <f t="shared" si="38"/>
        <v>17250</v>
      </c>
      <c r="N65" s="27">
        <f t="shared" si="39"/>
        <v>0.24533333333333332</v>
      </c>
      <c r="O65" s="9">
        <f>IF(D$6&gt;0,(J65-M65),0)</f>
        <v>53062.5</v>
      </c>
      <c r="P65" s="27">
        <f t="shared" ref="P65:P67" si="43">O65/J65</f>
        <v>0.75466666666666671</v>
      </c>
      <c r="Q65" s="9">
        <f xml:space="preserve"> IF((MAX(B$41:B$44)-MAX(D$41:D$44))&gt;$D$7,$D$7,(MAX(B$41:B$44)-MAX(D$41:D$44)))/MAX(B$41:B$44)*B65</f>
        <v>2250000</v>
      </c>
      <c r="R65" s="31">
        <f>Q65/B65</f>
        <v>0.5</v>
      </c>
      <c r="S65" s="13">
        <f>C65*R65</f>
        <v>1129.4325000000001</v>
      </c>
      <c r="T65" s="12">
        <f>B65-D65-Q65</f>
        <v>2156250</v>
      </c>
      <c r="U65" s="27">
        <f>T65/B65</f>
        <v>0.47916666666666669</v>
      </c>
      <c r="V65" s="11">
        <f>C65*U65</f>
        <v>1082.3728125000002</v>
      </c>
    </row>
    <row r="66" spans="1:22" x14ac:dyDescent="0.25">
      <c r="A66" s="8" t="s">
        <v>28</v>
      </c>
      <c r="B66" s="9">
        <v>125000000</v>
      </c>
      <c r="C66" s="9">
        <f t="shared" si="40"/>
        <v>62746.25</v>
      </c>
      <c r="D66" s="24">
        <f>INDEX(D$50:D$53,MATCH(MAX(B$50:B$53),B$50:B$53,0))/MAX(B$50:B$53)*B66</f>
        <v>2604166.6666666665</v>
      </c>
      <c r="E66" s="27">
        <f>D66/B66</f>
        <v>2.0833333333333332E-2</v>
      </c>
      <c r="F66" s="11">
        <f t="shared" ref="F66" si="44">C66*E66</f>
        <v>1307.2135416666665</v>
      </c>
      <c r="G66" s="12">
        <f>D66*$B$5</f>
        <v>651041.66666666663</v>
      </c>
      <c r="H66" s="27">
        <f>G66/D66</f>
        <v>0.25</v>
      </c>
      <c r="I66" s="11">
        <f t="shared" si="41"/>
        <v>326.80338541666663</v>
      </c>
      <c r="J66" s="12">
        <f>D66-G66</f>
        <v>1953125</v>
      </c>
      <c r="K66" s="27">
        <f>J66/D66</f>
        <v>0.75</v>
      </c>
      <c r="L66" s="11">
        <f t="shared" si="42"/>
        <v>980.41015624999989</v>
      </c>
      <c r="M66" s="39">
        <f>INDEX(M$64:M$67,MATCH(MAX(B$64:B$67),B$64:B$67,0))/MAX(J$64:J$67)*J66</f>
        <v>479166.66666666663</v>
      </c>
      <c r="N66" s="27">
        <f>M66/J66</f>
        <v>0.24533333333333332</v>
      </c>
      <c r="O66" s="9">
        <f>IF(D$6&gt;0,(J66-M66),0)</f>
        <v>1473958.3333333335</v>
      </c>
      <c r="P66" s="27">
        <f t="shared" si="43"/>
        <v>0.75466666666666671</v>
      </c>
      <c r="Q66" s="9">
        <f xml:space="preserve"> IF((MAX(B$41:B$44)-MAX(D$41:D$44))&gt;$D$7,$D$7,(MAX(B$41:B$44)-MAX(D$41:D$44)))/MAX(B$41:B$44)*B66</f>
        <v>62500000</v>
      </c>
      <c r="R66" s="31">
        <f>Q66/B66</f>
        <v>0.5</v>
      </c>
      <c r="S66" s="13">
        <f>C66*R66</f>
        <v>31373.125</v>
      </c>
      <c r="T66" s="12">
        <f>B66-D66-Q66</f>
        <v>59895833.333333328</v>
      </c>
      <c r="U66" s="27">
        <f>T66/B66</f>
        <v>0.47916666666666663</v>
      </c>
      <c r="V66" s="11">
        <f>C66*U66</f>
        <v>30065.911458333332</v>
      </c>
    </row>
    <row r="67" spans="1:22" x14ac:dyDescent="0.25">
      <c r="A67" s="18" t="s">
        <v>30</v>
      </c>
      <c r="B67" s="9">
        <v>600000000</v>
      </c>
      <c r="C67" s="9">
        <f t="shared" si="40"/>
        <v>301182</v>
      </c>
      <c r="D67" s="38">
        <v>12500000</v>
      </c>
      <c r="E67" s="27">
        <f>D67/B67</f>
        <v>2.0833333333333332E-2</v>
      </c>
      <c r="F67" s="11">
        <f>C67*E67</f>
        <v>6274.625</v>
      </c>
      <c r="G67" s="12">
        <f>D67*$B$5</f>
        <v>3125000</v>
      </c>
      <c r="H67" s="27">
        <f>G67/D67</f>
        <v>0.25</v>
      </c>
      <c r="I67" s="11">
        <f>F67*H67</f>
        <v>1568.65625</v>
      </c>
      <c r="J67" s="12">
        <f>D67-G67</f>
        <v>9375000</v>
      </c>
      <c r="K67" s="27">
        <f>J67/D67</f>
        <v>0.75</v>
      </c>
      <c r="L67" s="11">
        <f t="shared" si="42"/>
        <v>4705.96875</v>
      </c>
      <c r="M67" s="38">
        <v>2300000</v>
      </c>
      <c r="N67" s="27">
        <f>M67/J67</f>
        <v>0.24533333333333332</v>
      </c>
      <c r="O67" s="9">
        <f>IF(D$6&gt;0,(J67-M67),0)</f>
        <v>7075000</v>
      </c>
      <c r="P67" s="27">
        <f t="shared" si="43"/>
        <v>0.75466666666666671</v>
      </c>
      <c r="Q67" s="9">
        <f xml:space="preserve"> IF((MAX(B$41:B$44)-MAX(D$41:D$44))&gt;$D$7,$D$7,(MAX(B$41:B$44)-MAX(D$41:D$44)))/MAX(B$41:B$44)*B67</f>
        <v>300000000</v>
      </c>
      <c r="R67" s="31">
        <f>Q67/B67</f>
        <v>0.5</v>
      </c>
      <c r="S67" s="13">
        <f>C67*R67</f>
        <v>150591</v>
      </c>
      <c r="T67" s="12">
        <f>B67-D67-Q67</f>
        <v>287500000</v>
      </c>
      <c r="U67" s="27">
        <f>T67/B67</f>
        <v>0.47916666666666669</v>
      </c>
      <c r="V67" s="11">
        <f>C67*U67</f>
        <v>144316.375</v>
      </c>
    </row>
    <row r="68" spans="1:22" x14ac:dyDescent="0.25">
      <c r="A68" s="14" t="s">
        <v>29</v>
      </c>
      <c r="B68" s="15">
        <f>SUM(B64:B67)</f>
        <v>1179500000</v>
      </c>
      <c r="C68" s="15">
        <f>SUM(C64:C67)</f>
        <v>592073.61499999999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27"/>
      <c r="O68" s="8"/>
      <c r="P68" s="27"/>
      <c r="Q68" s="8"/>
      <c r="R68" s="18"/>
      <c r="S68" s="8"/>
      <c r="T68" s="8"/>
      <c r="U68" s="8"/>
      <c r="V68" s="8"/>
    </row>
    <row r="71" spans="1:22" ht="75" x14ac:dyDescent="0.25">
      <c r="A71" s="16" t="s">
        <v>45</v>
      </c>
      <c r="B71" s="5" t="s">
        <v>8</v>
      </c>
      <c r="C71" s="6" t="s">
        <v>9</v>
      </c>
      <c r="D71" s="5" t="s">
        <v>4</v>
      </c>
      <c r="E71" s="5" t="s">
        <v>10</v>
      </c>
      <c r="F71" s="7" t="s">
        <v>11</v>
      </c>
      <c r="G71" s="5" t="s">
        <v>12</v>
      </c>
      <c r="H71" s="5" t="s">
        <v>13</v>
      </c>
      <c r="I71" s="7" t="s">
        <v>14</v>
      </c>
      <c r="J71" s="5" t="s">
        <v>15</v>
      </c>
      <c r="K71" s="5" t="s">
        <v>16</v>
      </c>
      <c r="L71" s="7" t="s">
        <v>17</v>
      </c>
      <c r="M71" s="5" t="s">
        <v>18</v>
      </c>
      <c r="N71" s="5" t="s">
        <v>31</v>
      </c>
      <c r="O71" s="5" t="s">
        <v>19</v>
      </c>
      <c r="P71" s="5" t="s">
        <v>32</v>
      </c>
      <c r="Q71" s="5" t="s">
        <v>20</v>
      </c>
      <c r="R71" s="5" t="s">
        <v>21</v>
      </c>
      <c r="S71" s="7" t="s">
        <v>22</v>
      </c>
      <c r="T71" s="5" t="s">
        <v>23</v>
      </c>
      <c r="U71" s="5" t="s">
        <v>24</v>
      </c>
      <c r="V71" s="7" t="s">
        <v>25</v>
      </c>
    </row>
    <row r="72" spans="1:22" x14ac:dyDescent="0.25">
      <c r="A72" s="8" t="s">
        <v>26</v>
      </c>
      <c r="B72" s="9">
        <v>450000000</v>
      </c>
      <c r="C72" s="9">
        <f>B72*B$9</f>
        <v>225886.5</v>
      </c>
      <c r="D72" s="24">
        <f>INDEX(D$50:D$53,MATCH(MAX(B$50:B$53),B$50:B$53,0))/MAX(B$50:B$53)*B72</f>
        <v>9375000</v>
      </c>
      <c r="E72" s="27">
        <f>D72/B72</f>
        <v>2.0833333333333332E-2</v>
      </c>
      <c r="F72" s="11">
        <f>C72*E72</f>
        <v>4705.96875</v>
      </c>
      <c r="G72" s="12">
        <f>D72*$B$5</f>
        <v>2343750</v>
      </c>
      <c r="H72" s="27">
        <f>G72/D72</f>
        <v>0.25</v>
      </c>
      <c r="I72" s="11">
        <f>F72*H72</f>
        <v>1176.4921875</v>
      </c>
      <c r="J72" s="12">
        <f>D72-G72</f>
        <v>7031250</v>
      </c>
      <c r="K72" s="27">
        <f>J72/D72</f>
        <v>0.75</v>
      </c>
      <c r="L72" s="11">
        <f>F72*K72</f>
        <v>3529.4765625</v>
      </c>
      <c r="M72" s="39">
        <f t="shared" ref="M72:M73" si="45">INDEX(M$72:M$75,MATCH(MAX(B$72:B$75),B$72:B$75,0))/MAX(J$72:J$75)*J72</f>
        <v>1650000</v>
      </c>
      <c r="N72" s="27">
        <f t="shared" ref="N72:N73" si="46">M72/J72</f>
        <v>0.23466666666666666</v>
      </c>
      <c r="O72" s="9">
        <f>IF(D$6&gt;0,(J72-M72),0)</f>
        <v>5381250</v>
      </c>
      <c r="P72" s="27">
        <f>O72/J72</f>
        <v>0.76533333333333331</v>
      </c>
      <c r="Q72" s="24">
        <f>INDEX(Q$72:Q$75,MATCH(MAX(B$72:B$75),B$72:B$75,0))/MAX(B$72:B$75)*B72</f>
        <v>187500000</v>
      </c>
      <c r="R72" s="31">
        <f>Q72/B72</f>
        <v>0.41666666666666669</v>
      </c>
      <c r="S72" s="13">
        <f>C72*R72</f>
        <v>94119.375</v>
      </c>
      <c r="T72" s="12">
        <f>B72-D72-Q72</f>
        <v>253125000</v>
      </c>
      <c r="U72" s="27">
        <f>T72/B72</f>
        <v>0.5625</v>
      </c>
      <c r="V72" s="11">
        <f>C72*U72</f>
        <v>127061.15625</v>
      </c>
    </row>
    <row r="73" spans="1:22" x14ac:dyDescent="0.25">
      <c r="A73" s="8" t="s">
        <v>27</v>
      </c>
      <c r="B73" s="9">
        <v>4500000</v>
      </c>
      <c r="C73" s="9">
        <f>B73*B$9</f>
        <v>2258.8650000000002</v>
      </c>
      <c r="D73" s="24">
        <f>INDEX(D$50:D$53,MATCH(MAX(B$50:B$53),B$50:B$53,0))/MAX(B$50:B$53)*B73</f>
        <v>93750</v>
      </c>
      <c r="E73" s="27">
        <f>D73/B73</f>
        <v>2.0833333333333332E-2</v>
      </c>
      <c r="F73" s="11">
        <f>C73*E73</f>
        <v>47.059687500000003</v>
      </c>
      <c r="G73" s="12">
        <f>D73*$B$5</f>
        <v>23437.5</v>
      </c>
      <c r="H73" s="27">
        <f>G73/D73</f>
        <v>0.25</v>
      </c>
      <c r="I73" s="11">
        <f t="shared" ref="I73:I74" si="47">F73*H73</f>
        <v>11.764921875000001</v>
      </c>
      <c r="J73" s="12">
        <f>D73-G73</f>
        <v>70312.5</v>
      </c>
      <c r="K73" s="27">
        <f>J73/D73</f>
        <v>0.75</v>
      </c>
      <c r="L73" s="11">
        <f t="shared" ref="L73:L75" si="48">F73*K73</f>
        <v>35.294765625000004</v>
      </c>
      <c r="M73" s="39">
        <f t="shared" si="45"/>
        <v>16500</v>
      </c>
      <c r="N73" s="27">
        <f t="shared" si="46"/>
        <v>0.23466666666666666</v>
      </c>
      <c r="O73" s="9">
        <f>IF(D$6&gt;0,(J73-M73),0)</f>
        <v>53812.5</v>
      </c>
      <c r="P73" s="27">
        <f t="shared" ref="P73:P75" si="49">O73/J73</f>
        <v>0.76533333333333331</v>
      </c>
      <c r="Q73" s="24">
        <f>INDEX(Q$72:Q$75,MATCH(MAX(B$72:B$75),B$72:B$75,0))/MAX(B$72:B$75)*B73</f>
        <v>1875000</v>
      </c>
      <c r="R73" s="31">
        <f>Q73/B73</f>
        <v>0.41666666666666669</v>
      </c>
      <c r="S73" s="13">
        <f>C73*R73</f>
        <v>941.19375000000014</v>
      </c>
      <c r="T73" s="12">
        <f>B73-D73-Q73</f>
        <v>2531250</v>
      </c>
      <c r="U73" s="27">
        <f>T73/B73</f>
        <v>0.5625</v>
      </c>
      <c r="V73" s="11">
        <f>C73*U73</f>
        <v>1270.6115625000002</v>
      </c>
    </row>
    <row r="74" spans="1:22" x14ac:dyDescent="0.25">
      <c r="A74" s="8" t="s">
        <v>28</v>
      </c>
      <c r="B74" s="9">
        <v>125000000</v>
      </c>
      <c r="C74" s="9">
        <f t="shared" ref="C74:C76" si="50">B74*B$9</f>
        <v>62746.25</v>
      </c>
      <c r="D74" s="24">
        <f>INDEX(D$50:D$53,MATCH(MAX(B$50:B$53),B$50:B$53,0))/MAX(B$50:B$53)*B74</f>
        <v>2604166.6666666665</v>
      </c>
      <c r="E74" s="27">
        <f>D74/B74</f>
        <v>2.0833333333333332E-2</v>
      </c>
      <c r="F74" s="11">
        <f t="shared" ref="F74" si="51">C74*E74</f>
        <v>1307.2135416666665</v>
      </c>
      <c r="G74" s="12">
        <f>D74*$B$5</f>
        <v>651041.66666666663</v>
      </c>
      <c r="H74" s="27">
        <f>G74/D74</f>
        <v>0.25</v>
      </c>
      <c r="I74" s="11">
        <f t="shared" si="47"/>
        <v>326.80338541666663</v>
      </c>
      <c r="J74" s="12">
        <f>D74-G74</f>
        <v>1953125</v>
      </c>
      <c r="K74" s="27">
        <f>J74/D74</f>
        <v>0.75</v>
      </c>
      <c r="L74" s="11">
        <f t="shared" si="48"/>
        <v>980.41015624999989</v>
      </c>
      <c r="M74" s="39">
        <f>INDEX(M$72:M$75,MATCH(MAX(B$72:B$75),B$72:B$75,0))/MAX(J$72:J$75)*J74</f>
        <v>458333.33333333331</v>
      </c>
      <c r="N74" s="27">
        <f>M74/J74</f>
        <v>0.23466666666666666</v>
      </c>
      <c r="O74" s="9">
        <f>IF(D$6&gt;0,(J74-M74),0)</f>
        <v>1494791.6666666667</v>
      </c>
      <c r="P74" s="27">
        <f t="shared" si="49"/>
        <v>0.76533333333333342</v>
      </c>
      <c r="Q74" s="24">
        <f>INDEX(Q$72:Q$75,MATCH(MAX(B$72:B$75),B$72:B$75,0))/MAX(B$72:B$75)*B74</f>
        <v>52083333.333333336</v>
      </c>
      <c r="R74" s="31">
        <f>Q74/B74</f>
        <v>0.41666666666666669</v>
      </c>
      <c r="S74" s="13">
        <f>C74*R74</f>
        <v>26144.270833333336</v>
      </c>
      <c r="T74" s="12">
        <f>B74-D74-Q74</f>
        <v>70312500</v>
      </c>
      <c r="U74" s="27">
        <f>T74/B74</f>
        <v>0.5625</v>
      </c>
      <c r="V74" s="11">
        <f>C74*U74</f>
        <v>35294.765625</v>
      </c>
    </row>
    <row r="75" spans="1:22" x14ac:dyDescent="0.25">
      <c r="A75" s="18" t="s">
        <v>30</v>
      </c>
      <c r="B75" s="9">
        <v>600000000</v>
      </c>
      <c r="C75" s="9">
        <f t="shared" si="50"/>
        <v>301182</v>
      </c>
      <c r="D75" s="38">
        <v>12500000</v>
      </c>
      <c r="E75" s="27">
        <f>D75/B75</f>
        <v>2.0833333333333332E-2</v>
      </c>
      <c r="F75" s="11">
        <f>C75*E75</f>
        <v>6274.625</v>
      </c>
      <c r="G75" s="12">
        <f>D75*$B$5</f>
        <v>3125000</v>
      </c>
      <c r="H75" s="27">
        <f>G75/D75</f>
        <v>0.25</v>
      </c>
      <c r="I75" s="11">
        <f>F75*H75</f>
        <v>1568.65625</v>
      </c>
      <c r="J75" s="12">
        <f>D75-G75</f>
        <v>9375000</v>
      </c>
      <c r="K75" s="27">
        <f>J75/D75</f>
        <v>0.75</v>
      </c>
      <c r="L75" s="11">
        <f t="shared" si="48"/>
        <v>4705.96875</v>
      </c>
      <c r="M75" s="38">
        <v>2200000</v>
      </c>
      <c r="N75" s="27">
        <f>M75/J75</f>
        <v>0.23466666666666666</v>
      </c>
      <c r="O75" s="9">
        <f>IF(D$6&gt;0,(J75-M75),0)</f>
        <v>7175000</v>
      </c>
      <c r="P75" s="27">
        <f t="shared" si="49"/>
        <v>0.76533333333333331</v>
      </c>
      <c r="Q75" s="38">
        <v>250000000</v>
      </c>
      <c r="R75" s="31">
        <f>Q75/B75</f>
        <v>0.41666666666666669</v>
      </c>
      <c r="S75" s="13">
        <f>C75*R75</f>
        <v>125492.5</v>
      </c>
      <c r="T75" s="12">
        <f>B75-D75-Q75</f>
        <v>337500000</v>
      </c>
      <c r="U75" s="27">
        <f>T75/B75</f>
        <v>0.5625</v>
      </c>
      <c r="V75" s="11">
        <f>C75*U75</f>
        <v>169414.875</v>
      </c>
    </row>
    <row r="76" spans="1:22" x14ac:dyDescent="0.25">
      <c r="A76" s="14" t="s">
        <v>29</v>
      </c>
      <c r="B76" s="15">
        <f>SUM(B72:B75)</f>
        <v>1179500000</v>
      </c>
      <c r="C76" s="15">
        <f>SUM(C72:C75)</f>
        <v>592073.61499999999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27"/>
      <c r="O76" s="8"/>
      <c r="P76" s="27"/>
      <c r="Q76" s="8"/>
      <c r="R76" s="18"/>
      <c r="S76" s="8"/>
      <c r="T76" s="8"/>
      <c r="U76" s="8"/>
      <c r="V76" s="8"/>
    </row>
    <row r="78" spans="1:22" x14ac:dyDescent="0.25">
      <c r="Q78" s="4"/>
    </row>
    <row r="79" spans="1:22" ht="75" x14ac:dyDescent="0.25">
      <c r="A79" s="16" t="s">
        <v>46</v>
      </c>
      <c r="B79" s="5" t="s">
        <v>8</v>
      </c>
      <c r="C79" s="6" t="s">
        <v>9</v>
      </c>
      <c r="D79" s="5" t="s">
        <v>4</v>
      </c>
      <c r="E79" s="5" t="s">
        <v>10</v>
      </c>
      <c r="F79" s="7" t="s">
        <v>11</v>
      </c>
      <c r="G79" s="5" t="s">
        <v>12</v>
      </c>
      <c r="H79" s="5" t="s">
        <v>13</v>
      </c>
      <c r="I79" s="7" t="s">
        <v>14</v>
      </c>
      <c r="J79" s="5" t="s">
        <v>15</v>
      </c>
      <c r="K79" s="5" t="s">
        <v>16</v>
      </c>
      <c r="L79" s="7" t="s">
        <v>17</v>
      </c>
      <c r="M79" s="5" t="s">
        <v>18</v>
      </c>
      <c r="N79" s="5" t="s">
        <v>31</v>
      </c>
      <c r="O79" s="5" t="s">
        <v>19</v>
      </c>
      <c r="P79" s="5" t="s">
        <v>32</v>
      </c>
      <c r="Q79" s="5" t="s">
        <v>20</v>
      </c>
      <c r="R79" s="5" t="s">
        <v>21</v>
      </c>
      <c r="S79" s="7" t="s">
        <v>22</v>
      </c>
      <c r="T79" s="5" t="s">
        <v>23</v>
      </c>
      <c r="U79" s="5" t="s">
        <v>24</v>
      </c>
      <c r="V79" s="7" t="s">
        <v>25</v>
      </c>
    </row>
    <row r="80" spans="1:22" x14ac:dyDescent="0.25">
      <c r="A80" s="8" t="s">
        <v>26</v>
      </c>
      <c r="B80" s="9">
        <v>450000000</v>
      </c>
      <c r="C80" s="9">
        <f>B80*B$9</f>
        <v>225886.5</v>
      </c>
      <c r="D80" s="24">
        <f>INDEX(D$80:D$83,MATCH(MAX(B$80:B$83),B$80:B$83,0))/MAX(B$50:B$53)*B80</f>
        <v>9375000</v>
      </c>
      <c r="E80" s="27">
        <f>D80/B80</f>
        <v>2.0833333333333332E-2</v>
      </c>
      <c r="F80" s="11">
        <f>C80*E80</f>
        <v>4705.96875</v>
      </c>
      <c r="G80" s="12">
        <f t="shared" ref="G80:G81" si="52">INDEX(G$80:G$83,MATCH(MAX(D$80:D$83),D$80:D$83,0))/MAX(D$80:D$83)*D80</f>
        <v>2268750</v>
      </c>
      <c r="H80" s="27">
        <f>G80/D80</f>
        <v>0.24199999999999999</v>
      </c>
      <c r="I80" s="11">
        <f>F80*H80</f>
        <v>1138.8444374999999</v>
      </c>
      <c r="J80" s="12">
        <f>D80-G80</f>
        <v>7106250</v>
      </c>
      <c r="K80" s="27">
        <f>J80/D80</f>
        <v>0.75800000000000001</v>
      </c>
      <c r="L80" s="11">
        <f>F80*K80</f>
        <v>3567.1243125000001</v>
      </c>
      <c r="M80" s="39">
        <f>INDEX(M$80:M$83,MATCH(MAX(B$80:B$83),B$80:B$83,0))/MAX(J$80:J$83)*J80</f>
        <v>1650000</v>
      </c>
      <c r="N80" s="27">
        <f t="shared" ref="N80:N81" si="53">M80/J80</f>
        <v>0.23218997361477572</v>
      </c>
      <c r="O80" s="9">
        <f>IF(D$6&gt;0,(J80-M80),0)</f>
        <v>5456250</v>
      </c>
      <c r="P80" s="27">
        <f>O80/J80</f>
        <v>0.76781002638522422</v>
      </c>
      <c r="Q80" s="24">
        <f>INDEX(Q$72:Q$75,MATCH(MAX(B$72:B$75),B$72:B$75,0))/MAX(B$72:B$75)*B80</f>
        <v>187500000</v>
      </c>
      <c r="R80" s="31">
        <f>Q80/B80</f>
        <v>0.41666666666666669</v>
      </c>
      <c r="S80" s="13">
        <f>C80*R80</f>
        <v>94119.375</v>
      </c>
      <c r="T80" s="12">
        <f>B80-D80-Q80</f>
        <v>253125000</v>
      </c>
      <c r="U80" s="27">
        <f>T80/B80</f>
        <v>0.5625</v>
      </c>
      <c r="V80" s="11">
        <f>C80*U80</f>
        <v>127061.15625</v>
      </c>
    </row>
    <row r="81" spans="1:22" x14ac:dyDescent="0.25">
      <c r="A81" s="8" t="s">
        <v>27</v>
      </c>
      <c r="B81" s="9">
        <v>4500000</v>
      </c>
      <c r="C81" s="9">
        <f t="shared" ref="C81:C83" si="54">B81*B$9</f>
        <v>2258.8650000000002</v>
      </c>
      <c r="D81" s="24">
        <f>INDEX(D$80:D$83,MATCH(MAX(B$80:B$83),B$80:B$83,0))/MAX(B$80:B$83)*B81</f>
        <v>93750</v>
      </c>
      <c r="E81" s="27">
        <f>D81/B81</f>
        <v>2.0833333333333332E-2</v>
      </c>
      <c r="F81" s="11">
        <f>C81*E81</f>
        <v>47.059687500000003</v>
      </c>
      <c r="G81" s="12">
        <f t="shared" si="52"/>
        <v>22687.5</v>
      </c>
      <c r="H81" s="27">
        <f>G81/D81</f>
        <v>0.24199999999999999</v>
      </c>
      <c r="I81" s="11">
        <f t="shared" ref="I81:I82" si="55">F81*H81</f>
        <v>11.388444375000001</v>
      </c>
      <c r="J81" s="12">
        <f>D81-G81</f>
        <v>71062.5</v>
      </c>
      <c r="K81" s="27">
        <f>J81/D81</f>
        <v>0.75800000000000001</v>
      </c>
      <c r="L81" s="11">
        <f t="shared" ref="L81:L83" si="56">F81*K81</f>
        <v>35.671243125000004</v>
      </c>
      <c r="M81" s="39">
        <f t="shared" ref="M81" si="57">INDEX(M$72:M$75,MATCH(MAX(B$72:B$75),B$72:B$75,0))/MAX(J$72:J$75)*J81</f>
        <v>16676</v>
      </c>
      <c r="N81" s="27">
        <f t="shared" si="53"/>
        <v>0.23466666666666666</v>
      </c>
      <c r="O81" s="9">
        <f>IF(D$6&gt;0,(J81-M81),0)</f>
        <v>54386.5</v>
      </c>
      <c r="P81" s="27">
        <f t="shared" ref="P81:P83" si="58">O81/J81</f>
        <v>0.76533333333333331</v>
      </c>
      <c r="Q81" s="24">
        <f>INDEX(Q$72:Q$75,MATCH(MAX(B$72:B$75),B$72:B$75,0))/MAX(B$72:B$75)*B81</f>
        <v>1875000</v>
      </c>
      <c r="R81" s="31">
        <f>Q81/B81</f>
        <v>0.41666666666666669</v>
      </c>
      <c r="S81" s="13">
        <f>C81*R81</f>
        <v>941.19375000000014</v>
      </c>
      <c r="T81" s="12">
        <f>B81-D81-Q81</f>
        <v>2531250</v>
      </c>
      <c r="U81" s="27">
        <f>T81/B81</f>
        <v>0.5625</v>
      </c>
      <c r="V81" s="11">
        <f>C81*U81</f>
        <v>1270.6115625000002</v>
      </c>
    </row>
    <row r="82" spans="1:22" x14ac:dyDescent="0.25">
      <c r="A82" s="8" t="s">
        <v>28</v>
      </c>
      <c r="B82" s="9">
        <v>125000000</v>
      </c>
      <c r="C82" s="9">
        <f t="shared" si="54"/>
        <v>62746.25</v>
      </c>
      <c r="D82" s="24">
        <f>INDEX(D$80:D$83,MATCH(MAX(B$80:B$83),B$80:B$83,0))/MAX(B$80:B$83)*B82</f>
        <v>2604166.6666666665</v>
      </c>
      <c r="E82" s="27">
        <f>D82/B82</f>
        <v>2.0833333333333332E-2</v>
      </c>
      <c r="F82" s="11">
        <f t="shared" ref="F82" si="59">C82*E82</f>
        <v>1307.2135416666665</v>
      </c>
      <c r="G82" s="12">
        <f>INDEX(G$80:G$83,MATCH(MAX(D$80:D$83),D$80:D$83,0))/MAX(D$80:D$83)*D82</f>
        <v>630208.33333333326</v>
      </c>
      <c r="H82" s="27">
        <f>G82/D82</f>
        <v>0.24199999999999999</v>
      </c>
      <c r="I82" s="11">
        <f t="shared" si="55"/>
        <v>316.34567708333327</v>
      </c>
      <c r="J82" s="12">
        <f>D82-G82</f>
        <v>1973958.3333333333</v>
      </c>
      <c r="K82" s="27">
        <f>J82/D82</f>
        <v>0.75800000000000001</v>
      </c>
      <c r="L82" s="11">
        <f t="shared" si="56"/>
        <v>990.86786458333324</v>
      </c>
      <c r="M82" s="39">
        <f>INDEX(M$72:M$75,MATCH(MAX(B$72:B$75),B$72:B$75,0))/MAX(J$72:J$75)*J82</f>
        <v>463222.22222222219</v>
      </c>
      <c r="N82" s="27">
        <f>M82/J82</f>
        <v>0.23466666666666666</v>
      </c>
      <c r="O82" s="9">
        <f>IF(D$6&gt;0,(J82-M82),0)</f>
        <v>1510736.111111111</v>
      </c>
      <c r="P82" s="27">
        <f t="shared" si="58"/>
        <v>0.76533333333333331</v>
      </c>
      <c r="Q82" s="24">
        <f>INDEX(Q$72:Q$75,MATCH(MAX(B$72:B$75),B$72:B$75,0))/MAX(B$72:B$75)*B82</f>
        <v>52083333.333333336</v>
      </c>
      <c r="R82" s="31">
        <f>Q82/B82</f>
        <v>0.41666666666666669</v>
      </c>
      <c r="S82" s="13">
        <f>C82*R82</f>
        <v>26144.270833333336</v>
      </c>
      <c r="T82" s="12">
        <f>B82-D82-Q82</f>
        <v>70312500</v>
      </c>
      <c r="U82" s="27">
        <f>T82/B82</f>
        <v>0.5625</v>
      </c>
      <c r="V82" s="11">
        <f>C82*U82</f>
        <v>35294.765625</v>
      </c>
    </row>
    <row r="83" spans="1:22" x14ac:dyDescent="0.25">
      <c r="A83" s="18" t="s">
        <v>30</v>
      </c>
      <c r="B83" s="9">
        <v>600000000</v>
      </c>
      <c r="C83" s="9">
        <f t="shared" si="54"/>
        <v>301182</v>
      </c>
      <c r="D83" s="38">
        <v>12500000</v>
      </c>
      <c r="E83" s="27">
        <f>D83/B83</f>
        <v>2.0833333333333332E-2</v>
      </c>
      <c r="F83" s="11">
        <f>C83*E83</f>
        <v>6274.625</v>
      </c>
      <c r="G83" s="23">
        <v>3025000</v>
      </c>
      <c r="H83" s="27">
        <f>G83/D83</f>
        <v>0.24199999999999999</v>
      </c>
      <c r="I83" s="11">
        <f>F83*H83</f>
        <v>1518.4592499999999</v>
      </c>
      <c r="J83" s="12">
        <f>D83-G83</f>
        <v>9475000</v>
      </c>
      <c r="K83" s="27">
        <f>J83/D83</f>
        <v>0.75800000000000001</v>
      </c>
      <c r="L83" s="11">
        <f t="shared" si="56"/>
        <v>4756.1657500000001</v>
      </c>
      <c r="M83" s="38">
        <v>2200000</v>
      </c>
      <c r="N83" s="27">
        <f>M83/J83</f>
        <v>0.23218997361477572</v>
      </c>
      <c r="O83" s="9">
        <f>IF(D$6&gt;0,(J83-M83),0)</f>
        <v>7275000</v>
      </c>
      <c r="P83" s="27">
        <f t="shared" si="58"/>
        <v>0.76781002638522422</v>
      </c>
      <c r="Q83" s="38">
        <v>250000000</v>
      </c>
      <c r="R83" s="31">
        <f>Q83/B83</f>
        <v>0.41666666666666669</v>
      </c>
      <c r="S83" s="13">
        <f>C83*R83</f>
        <v>125492.5</v>
      </c>
      <c r="T83" s="12">
        <f>B83-D83-Q83</f>
        <v>337500000</v>
      </c>
      <c r="U83" s="27">
        <f>T83/B83</f>
        <v>0.5625</v>
      </c>
      <c r="V83" s="11">
        <f>C83*U83</f>
        <v>169414.875</v>
      </c>
    </row>
    <row r="84" spans="1:22" x14ac:dyDescent="0.25">
      <c r="A84" s="14" t="s">
        <v>29</v>
      </c>
      <c r="B84" s="15">
        <f>SUM(B80:B83)</f>
        <v>1179500000</v>
      </c>
      <c r="C84" s="15">
        <f>SUM(C80:C83)</f>
        <v>592073.61499999999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27"/>
      <c r="O84" s="8"/>
      <c r="P84" s="27"/>
      <c r="Q84" s="8"/>
      <c r="R84" s="18"/>
      <c r="S84" s="8"/>
      <c r="T84" s="8"/>
      <c r="U84" s="8"/>
      <c r="V84" s="8"/>
    </row>
  </sheetData>
  <mergeCells count="1">
    <mergeCell ref="A24:C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84"/>
  <sheetViews>
    <sheetView topLeftCell="A55" zoomScaleNormal="100" workbookViewId="0">
      <selection activeCell="M67" sqref="M67"/>
    </sheetView>
  </sheetViews>
  <sheetFormatPr defaultRowHeight="15" x14ac:dyDescent="0.25"/>
  <cols>
    <col min="1" max="1" width="24.42578125" bestFit="1" customWidth="1"/>
    <col min="2" max="2" width="14.28515625" bestFit="1" customWidth="1"/>
    <col min="3" max="3" width="11.5703125" bestFit="1" customWidth="1"/>
    <col min="4" max="4" width="15.42578125" bestFit="1" customWidth="1"/>
    <col min="5" max="5" width="17.5703125" bestFit="1" customWidth="1"/>
    <col min="6" max="6" width="20.7109375" bestFit="1" customWidth="1"/>
    <col min="7" max="7" width="12.5703125" bestFit="1" customWidth="1"/>
    <col min="8" max="8" width="11.28515625" bestFit="1" customWidth="1"/>
    <col min="9" max="9" width="17" bestFit="1" customWidth="1"/>
    <col min="10" max="10" width="12.5703125" bestFit="1" customWidth="1"/>
    <col min="11" max="11" width="15.28515625" bestFit="1" customWidth="1"/>
    <col min="12" max="13" width="17.28515625" bestFit="1" customWidth="1"/>
    <col min="14" max="14" width="19.28515625" bestFit="1" customWidth="1"/>
    <col min="15" max="15" width="12.5703125" bestFit="1" customWidth="1"/>
    <col min="16" max="16" width="12.140625" bestFit="1" customWidth="1"/>
    <col min="17" max="17" width="15.28515625" bestFit="1" customWidth="1"/>
    <col min="18" max="18" width="14.28515625" bestFit="1" customWidth="1"/>
    <col min="19" max="19" width="11.140625" bestFit="1" customWidth="1"/>
    <col min="20" max="20" width="13.7109375" bestFit="1" customWidth="1"/>
    <col min="21" max="21" width="12" bestFit="1" customWidth="1"/>
    <col min="22" max="22" width="12.5703125" bestFit="1" customWidth="1"/>
  </cols>
  <sheetData>
    <row r="2" spans="1:22" x14ac:dyDescent="0.25">
      <c r="A2" t="s">
        <v>0</v>
      </c>
    </row>
    <row r="3" spans="1:22" x14ac:dyDescent="0.25">
      <c r="B3" t="s">
        <v>1</v>
      </c>
      <c r="C3" t="s">
        <v>2</v>
      </c>
      <c r="D3" t="s">
        <v>3</v>
      </c>
      <c r="E3" t="s">
        <v>3</v>
      </c>
    </row>
    <row r="4" spans="1:22" x14ac:dyDescent="0.25">
      <c r="A4" t="s">
        <v>4</v>
      </c>
      <c r="D4" s="1">
        <v>15000000</v>
      </c>
    </row>
    <row r="5" spans="1:22" x14ac:dyDescent="0.25">
      <c r="A5" t="s">
        <v>5</v>
      </c>
      <c r="B5" s="2">
        <v>0.25</v>
      </c>
      <c r="C5">
        <v>0</v>
      </c>
    </row>
    <row r="6" spans="1:22" x14ac:dyDescent="0.25">
      <c r="A6" t="s">
        <v>6</v>
      </c>
      <c r="D6" s="1">
        <v>3000000</v>
      </c>
    </row>
    <row r="7" spans="1:22" x14ac:dyDescent="0.25">
      <c r="A7" t="s">
        <v>7</v>
      </c>
      <c r="C7" s="3">
        <v>15000000</v>
      </c>
      <c r="D7" s="1">
        <v>300000000</v>
      </c>
      <c r="E7" s="1">
        <v>315000000</v>
      </c>
    </row>
    <row r="9" spans="1:22" x14ac:dyDescent="0.25">
      <c r="A9" s="29" t="s">
        <v>33</v>
      </c>
      <c r="B9" s="30">
        <v>5.0197000000000002E-4</v>
      </c>
      <c r="C9" s="4"/>
    </row>
    <row r="12" spans="1:22" ht="30" x14ac:dyDescent="0.25">
      <c r="A12" s="16" t="s">
        <v>35</v>
      </c>
      <c r="B12" s="5" t="s">
        <v>8</v>
      </c>
      <c r="C12" s="6" t="s">
        <v>9</v>
      </c>
      <c r="D12" s="5" t="s">
        <v>4</v>
      </c>
      <c r="E12" s="5" t="s">
        <v>10</v>
      </c>
      <c r="F12" s="21" t="s">
        <v>11</v>
      </c>
      <c r="G12" s="5" t="s">
        <v>12</v>
      </c>
      <c r="H12" s="5" t="s">
        <v>13</v>
      </c>
      <c r="I12" s="21" t="s">
        <v>14</v>
      </c>
      <c r="J12" s="5" t="s">
        <v>15</v>
      </c>
      <c r="K12" s="5" t="s">
        <v>16</v>
      </c>
      <c r="L12" s="21" t="s">
        <v>17</v>
      </c>
      <c r="M12" s="5" t="s">
        <v>18</v>
      </c>
      <c r="N12" s="5" t="s">
        <v>31</v>
      </c>
      <c r="O12" s="5" t="s">
        <v>19</v>
      </c>
      <c r="P12" s="5" t="s">
        <v>32</v>
      </c>
      <c r="Q12" s="5" t="s">
        <v>20</v>
      </c>
      <c r="R12" s="5" t="s">
        <v>21</v>
      </c>
      <c r="S12" s="21" t="s">
        <v>22</v>
      </c>
      <c r="T12" s="5" t="s">
        <v>23</v>
      </c>
      <c r="U12" s="5" t="s">
        <v>24</v>
      </c>
      <c r="V12" s="21" t="s">
        <v>25</v>
      </c>
    </row>
    <row r="13" spans="1:22" x14ac:dyDescent="0.25">
      <c r="A13" s="8" t="s">
        <v>26</v>
      </c>
      <c r="B13" s="9">
        <v>450000000</v>
      </c>
      <c r="C13" s="9">
        <f>B13*B$9</f>
        <v>225886.5</v>
      </c>
      <c r="D13" s="9">
        <f>IF(B13&gt;$D$4,$D$4,B13)</f>
        <v>15000000</v>
      </c>
      <c r="E13" s="27">
        <f>D13/B13</f>
        <v>3.3333333333333333E-2</v>
      </c>
      <c r="F13" s="22">
        <f>C13*E13</f>
        <v>7529.55</v>
      </c>
      <c r="G13" s="12">
        <f>D13*$B$5</f>
        <v>3750000</v>
      </c>
      <c r="H13" s="27">
        <f>G13/D13</f>
        <v>0.25</v>
      </c>
      <c r="I13" s="22">
        <f>F13*H13</f>
        <v>1882.3875</v>
      </c>
      <c r="J13" s="12">
        <f>D13-G13</f>
        <v>11250000</v>
      </c>
      <c r="K13" s="27">
        <f>J13/D13</f>
        <v>0.75</v>
      </c>
      <c r="L13" s="22">
        <f>F13*K13</f>
        <v>5647.1625000000004</v>
      </c>
      <c r="M13" s="9">
        <f>IF(J13&gt;$D$6,$D$6,J13)</f>
        <v>3000000</v>
      </c>
      <c r="N13" s="27">
        <f t="shared" ref="N13" si="0">M13/J13</f>
        <v>0.26666666666666666</v>
      </c>
      <c r="O13" s="9">
        <f>IF(D$6&gt;0,(J13-M13),0)</f>
        <v>8250000</v>
      </c>
      <c r="P13" s="27">
        <f t="shared" ref="P13" si="1">O13/J13</f>
        <v>0.73333333333333328</v>
      </c>
      <c r="Q13" s="9">
        <f>IF((B13-D13)&gt;$D$7,$D$7,(B13-D13))</f>
        <v>300000000</v>
      </c>
      <c r="R13" s="27">
        <f>Q13/B13</f>
        <v>0.66666666666666663</v>
      </c>
      <c r="S13" s="23">
        <f>C13*R13</f>
        <v>150591</v>
      </c>
      <c r="T13" s="12">
        <f>B13-D13-Q13</f>
        <v>135000000</v>
      </c>
      <c r="U13" s="27">
        <f>T13/B13</f>
        <v>0.3</v>
      </c>
      <c r="V13" s="22">
        <f>C13*U13</f>
        <v>67765.95</v>
      </c>
    </row>
    <row r="14" spans="1:22" x14ac:dyDescent="0.25">
      <c r="A14" s="14" t="s">
        <v>29</v>
      </c>
      <c r="B14" s="15">
        <f>SUM(B13:B13)</f>
        <v>450000000</v>
      </c>
      <c r="C14" s="15">
        <f>SUM(C13:C13)</f>
        <v>225886.5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  <c r="P14" s="8"/>
      <c r="Q14" s="8"/>
      <c r="R14" s="28"/>
      <c r="S14" s="8"/>
      <c r="T14" s="8"/>
      <c r="U14" s="28"/>
      <c r="V14" s="8"/>
    </row>
    <row r="15" spans="1:22" x14ac:dyDescent="0.25">
      <c r="A15" s="33"/>
      <c r="B15" s="34"/>
      <c r="C15" s="34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6"/>
      <c r="P15" s="35"/>
      <c r="Q15" s="35"/>
      <c r="R15" s="37"/>
      <c r="S15" s="35"/>
      <c r="T15" s="35"/>
      <c r="U15" s="37"/>
      <c r="V15" s="35"/>
    </row>
    <row r="18" spans="1:22" ht="30" x14ac:dyDescent="0.25">
      <c r="A18" s="16" t="s">
        <v>34</v>
      </c>
      <c r="B18" s="5" t="s">
        <v>8</v>
      </c>
      <c r="C18" s="6" t="s">
        <v>9</v>
      </c>
      <c r="D18" s="5" t="s">
        <v>4</v>
      </c>
      <c r="E18" s="5" t="s">
        <v>10</v>
      </c>
      <c r="F18" s="21" t="s">
        <v>11</v>
      </c>
      <c r="G18" s="5" t="s">
        <v>12</v>
      </c>
      <c r="H18" s="5" t="s">
        <v>13</v>
      </c>
      <c r="I18" s="21" t="s">
        <v>14</v>
      </c>
      <c r="J18" s="5" t="s">
        <v>15</v>
      </c>
      <c r="K18" s="5" t="s">
        <v>16</v>
      </c>
      <c r="L18" s="21" t="s">
        <v>17</v>
      </c>
      <c r="M18" s="5" t="s">
        <v>18</v>
      </c>
      <c r="N18" s="5" t="s">
        <v>31</v>
      </c>
      <c r="O18" s="5" t="s">
        <v>19</v>
      </c>
      <c r="P18" s="5" t="s">
        <v>32</v>
      </c>
      <c r="Q18" s="5" t="s">
        <v>20</v>
      </c>
      <c r="R18" s="5" t="s">
        <v>21</v>
      </c>
      <c r="S18" s="21" t="s">
        <v>22</v>
      </c>
      <c r="T18" s="5" t="s">
        <v>23</v>
      </c>
      <c r="U18" s="5" t="s">
        <v>24</v>
      </c>
      <c r="V18" s="21" t="s">
        <v>25</v>
      </c>
    </row>
    <row r="19" spans="1:22" x14ac:dyDescent="0.25">
      <c r="A19" s="8" t="s">
        <v>26</v>
      </c>
      <c r="B19" s="9">
        <v>450000000</v>
      </c>
      <c r="C19" s="9">
        <f>B19*B$9</f>
        <v>225886.5</v>
      </c>
      <c r="D19" s="9">
        <f>IF(B19&gt;$D$4,$D$4,B19)</f>
        <v>15000000</v>
      </c>
      <c r="E19" s="27">
        <f>D19/B19</f>
        <v>3.3333333333333333E-2</v>
      </c>
      <c r="F19" s="22">
        <f>C19*E19</f>
        <v>7529.55</v>
      </c>
      <c r="G19" s="12">
        <f>D19*$B$5</f>
        <v>3750000</v>
      </c>
      <c r="H19" s="27">
        <f>G19/D19</f>
        <v>0.25</v>
      </c>
      <c r="I19" s="22">
        <f>F19*H19</f>
        <v>1882.3875</v>
      </c>
      <c r="J19" s="12">
        <f>D19-G19</f>
        <v>11250000</v>
      </c>
      <c r="K19" s="27">
        <f>J19/D19</f>
        <v>0.75</v>
      </c>
      <c r="L19" s="22">
        <f>F19*K19</f>
        <v>5647.1625000000004</v>
      </c>
      <c r="M19" s="9">
        <f>IF(J19&gt;$D$6,$D$6,J19)</f>
        <v>3000000</v>
      </c>
      <c r="N19" s="27">
        <f t="shared" ref="N19:N21" si="2">M19/J19</f>
        <v>0.26666666666666666</v>
      </c>
      <c r="O19" s="9">
        <f>IF(D$6&gt;0,(J19-M19),0)</f>
        <v>8250000</v>
      </c>
      <c r="P19" s="27">
        <f t="shared" ref="P19:P21" si="3">O19/J19</f>
        <v>0.73333333333333328</v>
      </c>
      <c r="Q19" s="9">
        <f>IF((B19-D19)&gt;$D$7,$D$7,(B19-D19))</f>
        <v>300000000</v>
      </c>
      <c r="R19" s="27">
        <f>Q19/B19</f>
        <v>0.66666666666666663</v>
      </c>
      <c r="S19" s="23">
        <f>C19*R19</f>
        <v>150591</v>
      </c>
      <c r="T19" s="12">
        <f>B19-D19-Q19</f>
        <v>135000000</v>
      </c>
      <c r="U19" s="27">
        <f>T19/B19</f>
        <v>0.3</v>
      </c>
      <c r="V19" s="22">
        <f>C19*U19</f>
        <v>67765.95</v>
      </c>
    </row>
    <row r="20" spans="1:22" x14ac:dyDescent="0.25">
      <c r="A20" s="8" t="s">
        <v>27</v>
      </c>
      <c r="B20" s="9">
        <v>4500000</v>
      </c>
      <c r="C20" s="9">
        <f t="shared" ref="C20:C21" si="4">B20*B$9</f>
        <v>2258.8650000000002</v>
      </c>
      <c r="D20" s="9">
        <f>IF(B20&gt;$D$4,$D$4,B20)</f>
        <v>4500000</v>
      </c>
      <c r="E20" s="27">
        <f>D20/B20</f>
        <v>1</v>
      </c>
      <c r="F20" s="22">
        <f t="shared" ref="F20:F21" si="5">C20*E20</f>
        <v>2258.8650000000002</v>
      </c>
      <c r="G20" s="12">
        <f>D20*$B$5</f>
        <v>1125000</v>
      </c>
      <c r="H20" s="27">
        <f>G20/D20</f>
        <v>0.25</v>
      </c>
      <c r="I20" s="22">
        <f t="shared" ref="I20:I21" si="6">F20*H20</f>
        <v>564.71625000000006</v>
      </c>
      <c r="J20" s="12">
        <f>D20-G20</f>
        <v>3375000</v>
      </c>
      <c r="K20" s="27">
        <f>J20/D20</f>
        <v>0.75</v>
      </c>
      <c r="L20" s="22">
        <f t="shared" ref="L20:L21" si="7">F20*K20</f>
        <v>1694.1487500000003</v>
      </c>
      <c r="M20" s="9">
        <f>IF(J20&gt;$D$6,$D$6,J20)</f>
        <v>3000000</v>
      </c>
      <c r="N20" s="27">
        <f t="shared" si="2"/>
        <v>0.88888888888888884</v>
      </c>
      <c r="O20" s="9">
        <f>IF(D$6&gt;0,(J20-M20),0)</f>
        <v>375000</v>
      </c>
      <c r="P20" s="27">
        <f t="shared" si="3"/>
        <v>0.1111111111111111</v>
      </c>
      <c r="Q20" s="9">
        <f>IF((B20-D20)&gt;$D$7,$D$7,(B20-D20))</f>
        <v>0</v>
      </c>
      <c r="R20" s="27">
        <f>Q20/B20</f>
        <v>0</v>
      </c>
      <c r="S20" s="23">
        <f>C20*R20</f>
        <v>0</v>
      </c>
      <c r="T20" s="12">
        <f>B20-D20-Q20</f>
        <v>0</v>
      </c>
      <c r="U20" s="27">
        <f>T20/B20</f>
        <v>0</v>
      </c>
      <c r="V20" s="22">
        <f>C20*U20</f>
        <v>0</v>
      </c>
    </row>
    <row r="21" spans="1:22" x14ac:dyDescent="0.25">
      <c r="A21" s="8" t="s">
        <v>28</v>
      </c>
      <c r="B21" s="9">
        <v>125000000</v>
      </c>
      <c r="C21" s="9">
        <f t="shared" si="4"/>
        <v>62746.25</v>
      </c>
      <c r="D21" s="9">
        <f>IF(B21&gt;$D$4,$D$4,B21)</f>
        <v>15000000</v>
      </c>
      <c r="E21" s="27">
        <f>D21/B21</f>
        <v>0.12</v>
      </c>
      <c r="F21" s="22">
        <f t="shared" si="5"/>
        <v>7529.5499999999993</v>
      </c>
      <c r="G21" s="12">
        <f>D21*$B$5</f>
        <v>3750000</v>
      </c>
      <c r="H21" s="27">
        <f>G21/D21</f>
        <v>0.25</v>
      </c>
      <c r="I21" s="22">
        <f t="shared" si="6"/>
        <v>1882.3874999999998</v>
      </c>
      <c r="J21" s="12">
        <f>D21-G21</f>
        <v>11250000</v>
      </c>
      <c r="K21" s="27">
        <f>J21/D21</f>
        <v>0.75</v>
      </c>
      <c r="L21" s="22">
        <f t="shared" si="7"/>
        <v>5647.1624999999995</v>
      </c>
      <c r="M21" s="9">
        <f>IF(J21&gt;$D$6,$D$6,J21)</f>
        <v>3000000</v>
      </c>
      <c r="N21" s="27">
        <f t="shared" si="2"/>
        <v>0.26666666666666666</v>
      </c>
      <c r="O21" s="9">
        <f>IF(D$6&gt;0,(J21-M21),0)</f>
        <v>8250000</v>
      </c>
      <c r="P21" s="27">
        <f t="shared" si="3"/>
        <v>0.73333333333333328</v>
      </c>
      <c r="Q21" s="9">
        <f>IF((B21-D21)&gt;$D$7,$D$7,(B21-D21))</f>
        <v>110000000</v>
      </c>
      <c r="R21" s="27">
        <f>Q21/B21</f>
        <v>0.88</v>
      </c>
      <c r="S21" s="23">
        <f>C21*R21</f>
        <v>55216.7</v>
      </c>
      <c r="T21" s="12">
        <f>B21-D21-Q21</f>
        <v>0</v>
      </c>
      <c r="U21" s="27">
        <f>T21/B21</f>
        <v>0</v>
      </c>
      <c r="V21" s="22">
        <f>C21*U21</f>
        <v>0</v>
      </c>
    </row>
    <row r="22" spans="1:22" x14ac:dyDescent="0.25">
      <c r="A22" s="14" t="s">
        <v>29</v>
      </c>
      <c r="B22" s="15">
        <f>SUM(B19:B21)</f>
        <v>579500000</v>
      </c>
      <c r="C22" s="15">
        <f>SUM(C19:C21)</f>
        <v>290891.61499999999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8"/>
      <c r="Q22" s="8"/>
      <c r="R22" s="28"/>
      <c r="S22" s="8"/>
      <c r="T22" s="8"/>
      <c r="U22" s="28"/>
      <c r="V22" s="8"/>
    </row>
    <row r="24" spans="1:22" x14ac:dyDescent="0.25">
      <c r="A24" s="40" t="s">
        <v>36</v>
      </c>
      <c r="B24" s="41"/>
      <c r="C24" s="42"/>
    </row>
    <row r="27" spans="1:22" ht="75" x14ac:dyDescent="0.25">
      <c r="A27" s="16" t="s">
        <v>42</v>
      </c>
      <c r="B27" s="5" t="s">
        <v>8</v>
      </c>
      <c r="C27" s="6" t="s">
        <v>9</v>
      </c>
      <c r="D27" s="5" t="s">
        <v>4</v>
      </c>
      <c r="E27" s="5" t="s">
        <v>10</v>
      </c>
      <c r="F27" s="7" t="s">
        <v>11</v>
      </c>
      <c r="G27" s="5" t="s">
        <v>12</v>
      </c>
      <c r="H27" s="5" t="s">
        <v>13</v>
      </c>
      <c r="I27" s="7" t="s">
        <v>14</v>
      </c>
      <c r="J27" s="5" t="s">
        <v>15</v>
      </c>
      <c r="K27" s="5" t="s">
        <v>16</v>
      </c>
      <c r="L27" s="7" t="s">
        <v>17</v>
      </c>
      <c r="M27" s="5" t="s">
        <v>18</v>
      </c>
      <c r="N27" s="5" t="s">
        <v>31</v>
      </c>
      <c r="O27" s="5" t="s">
        <v>19</v>
      </c>
      <c r="P27" s="5" t="s">
        <v>32</v>
      </c>
      <c r="Q27" s="5" t="s">
        <v>20</v>
      </c>
      <c r="R27" s="5" t="s">
        <v>21</v>
      </c>
      <c r="S27" s="7" t="s">
        <v>22</v>
      </c>
      <c r="T27" s="5" t="s">
        <v>23</v>
      </c>
      <c r="U27" s="5" t="s">
        <v>24</v>
      </c>
      <c r="V27" s="7" t="s">
        <v>25</v>
      </c>
    </row>
    <row r="28" spans="1:22" x14ac:dyDescent="0.25">
      <c r="A28" s="8" t="s">
        <v>26</v>
      </c>
      <c r="B28" s="9">
        <v>450000000</v>
      </c>
      <c r="C28" s="9">
        <f t="shared" ref="C28" si="8">B28*B$9</f>
        <v>225886.5</v>
      </c>
      <c r="D28" s="9">
        <f>IF(MAX(B$34:B$36)&gt;$D$4,$D$4,MAX(B$34:B$36))/MAX(B$34:B$36)*B28</f>
        <v>15000000</v>
      </c>
      <c r="E28" s="27">
        <f>D28/B28</f>
        <v>3.3333333333333333E-2</v>
      </c>
      <c r="F28" s="11">
        <f>C28*E28</f>
        <v>7529.55</v>
      </c>
      <c r="G28" s="12">
        <f>D28*$B$5</f>
        <v>3750000</v>
      </c>
      <c r="H28" s="27">
        <f>G28/D28</f>
        <v>0.25</v>
      </c>
      <c r="I28" s="11">
        <f>F28*H28</f>
        <v>1882.3875</v>
      </c>
      <c r="J28" s="12">
        <f>D28-G28</f>
        <v>11250000</v>
      </c>
      <c r="K28" s="27">
        <f>J28/D28</f>
        <v>0.75</v>
      </c>
      <c r="L28" s="11">
        <f>F28*K28</f>
        <v>5647.1625000000004</v>
      </c>
      <c r="M28" s="24">
        <f>(IF(MAX(J28:J28)&gt;$D$6,$D$6,MAX(J28:J28)))/MAX(J28:J28)*J28</f>
        <v>3000000</v>
      </c>
      <c r="N28" s="27">
        <f>M28/J28</f>
        <v>0.26666666666666666</v>
      </c>
      <c r="O28" s="25">
        <f>IF(D$6&gt;0,(J28-M28),0)</f>
        <v>8250000</v>
      </c>
      <c r="P28" s="27">
        <f t="shared" ref="P28" si="9">O28/J28</f>
        <v>0.73333333333333328</v>
      </c>
      <c r="Q28" s="9">
        <f xml:space="preserve"> IF((MAX(B$34:B$36)-MAX(D$34:D$36))&gt;$D$7,$D$7,(MAX(B$34:B$36)-MAX(D$34:D$36)))/MAX(B$34:B$36)*B28</f>
        <v>300000000</v>
      </c>
      <c r="R28" s="31">
        <f>Q28/B28</f>
        <v>0.66666666666666663</v>
      </c>
      <c r="S28" s="13">
        <f>C28*R28</f>
        <v>150591</v>
      </c>
      <c r="T28" s="12">
        <f>B28-D28-Q28</f>
        <v>135000000</v>
      </c>
      <c r="U28" s="27">
        <f>T28/B28</f>
        <v>0.3</v>
      </c>
      <c r="V28" s="11">
        <f>C28*U28</f>
        <v>67765.95</v>
      </c>
    </row>
    <row r="29" spans="1:22" x14ac:dyDescent="0.25">
      <c r="A29" s="14" t="s">
        <v>29</v>
      </c>
      <c r="B29" s="17">
        <f>SUM(B28:B28)</f>
        <v>450000000</v>
      </c>
      <c r="C29" s="17">
        <f>SUM(C28:C28)</f>
        <v>225886.5</v>
      </c>
      <c r="D29" s="9"/>
      <c r="E29" s="27"/>
      <c r="F29" s="11"/>
      <c r="G29" s="12"/>
      <c r="H29" s="10"/>
      <c r="I29" s="11"/>
      <c r="J29" s="12"/>
      <c r="K29" s="10"/>
      <c r="L29" s="11"/>
      <c r="M29" s="9"/>
      <c r="N29" s="8"/>
      <c r="O29" s="25"/>
      <c r="P29" s="8"/>
      <c r="Q29" s="9"/>
      <c r="R29" s="32"/>
      <c r="S29" s="13"/>
      <c r="T29" s="12"/>
      <c r="U29" s="10"/>
      <c r="V29" s="11"/>
    </row>
    <row r="33" spans="1:22" ht="75" x14ac:dyDescent="0.25">
      <c r="A33" s="16" t="s">
        <v>41</v>
      </c>
      <c r="B33" s="5" t="s">
        <v>8</v>
      </c>
      <c r="C33" s="6" t="s">
        <v>9</v>
      </c>
      <c r="D33" s="5" t="s">
        <v>4</v>
      </c>
      <c r="E33" s="5" t="s">
        <v>10</v>
      </c>
      <c r="F33" s="7" t="s">
        <v>11</v>
      </c>
      <c r="G33" s="5" t="s">
        <v>12</v>
      </c>
      <c r="H33" s="5" t="s">
        <v>13</v>
      </c>
      <c r="I33" s="7" t="s">
        <v>14</v>
      </c>
      <c r="J33" s="5" t="s">
        <v>15</v>
      </c>
      <c r="K33" s="5" t="s">
        <v>16</v>
      </c>
      <c r="L33" s="7" t="s">
        <v>17</v>
      </c>
      <c r="M33" s="5" t="s">
        <v>18</v>
      </c>
      <c r="N33" s="5" t="s">
        <v>31</v>
      </c>
      <c r="O33" s="5" t="s">
        <v>19</v>
      </c>
      <c r="P33" s="5" t="s">
        <v>32</v>
      </c>
      <c r="Q33" s="5" t="s">
        <v>20</v>
      </c>
      <c r="R33" s="5" t="s">
        <v>21</v>
      </c>
      <c r="S33" s="7" t="s">
        <v>22</v>
      </c>
      <c r="T33" s="5" t="s">
        <v>23</v>
      </c>
      <c r="U33" s="5" t="s">
        <v>24</v>
      </c>
      <c r="V33" s="7" t="s">
        <v>25</v>
      </c>
    </row>
    <row r="34" spans="1:22" x14ac:dyDescent="0.25">
      <c r="A34" s="8" t="s">
        <v>26</v>
      </c>
      <c r="B34" s="9">
        <v>450000000</v>
      </c>
      <c r="C34" s="9">
        <f t="shared" ref="C34:C36" si="10">B34*B$9</f>
        <v>225886.5</v>
      </c>
      <c r="D34" s="9">
        <f>IF(MAX(B$34:B$36)&gt;$D$4,$D$4,MAX(B$34:B$36))/MAX(B$34:B$36)*B34</f>
        <v>15000000</v>
      </c>
      <c r="E34" s="27">
        <f>D34/B34</f>
        <v>3.3333333333333333E-2</v>
      </c>
      <c r="F34" s="11">
        <f>C34*E34</f>
        <v>7529.55</v>
      </c>
      <c r="G34" s="12">
        <f>D34*$B$5</f>
        <v>3750000</v>
      </c>
      <c r="H34" s="27">
        <f>G34/D34</f>
        <v>0.25</v>
      </c>
      <c r="I34" s="11">
        <f>F34*H34</f>
        <v>1882.3875</v>
      </c>
      <c r="J34" s="12">
        <f>D34-G34</f>
        <v>11250000</v>
      </c>
      <c r="K34" s="27">
        <f>J34/D34</f>
        <v>0.75</v>
      </c>
      <c r="L34" s="11">
        <f>F34*K34</f>
        <v>5647.1625000000004</v>
      </c>
      <c r="M34" s="24">
        <f>(IF(MAX(J34:J36)&gt;$D$6,$D$6,MAX(J34:J36)))/MAX(J34:J36)*J34</f>
        <v>3000000</v>
      </c>
      <c r="N34" s="27">
        <f>M34/J34</f>
        <v>0.26666666666666666</v>
      </c>
      <c r="O34" s="25">
        <f>IF(D$6&gt;0,(J34-M34),0)</f>
        <v>8250000</v>
      </c>
      <c r="P34" s="27">
        <f t="shared" ref="P34:P36" si="11">O34/J34</f>
        <v>0.73333333333333328</v>
      </c>
      <c r="Q34" s="9">
        <f xml:space="preserve"> IF((MAX(B$34:B$36)-MAX(D$34:D$36))&gt;$D$7,$D$7,(MAX(B$34:B$36)-MAX(D$34:D$36)))/MAX(B$34:B$36)*B34</f>
        <v>300000000</v>
      </c>
      <c r="R34" s="31">
        <f>Q34/B34</f>
        <v>0.66666666666666663</v>
      </c>
      <c r="S34" s="13">
        <f>C34*R34</f>
        <v>150591</v>
      </c>
      <c r="T34" s="12">
        <f>B34-D34-Q34</f>
        <v>135000000</v>
      </c>
      <c r="U34" s="27">
        <f>T34/B34</f>
        <v>0.3</v>
      </c>
      <c r="V34" s="11">
        <f>C34*U34</f>
        <v>67765.95</v>
      </c>
    </row>
    <row r="35" spans="1:22" x14ac:dyDescent="0.25">
      <c r="A35" s="8" t="s">
        <v>27</v>
      </c>
      <c r="B35" s="9">
        <v>4500000</v>
      </c>
      <c r="C35" s="9">
        <f t="shared" si="10"/>
        <v>2258.8650000000002</v>
      </c>
      <c r="D35" s="9">
        <f>IF(MAX(B$34:B$36)&gt;$D$4,$D$4,MAX(B$34:B$36))/MAX(B$34:B$36)*B35</f>
        <v>150000</v>
      </c>
      <c r="E35" s="27">
        <f>D35/B35</f>
        <v>3.3333333333333333E-2</v>
      </c>
      <c r="F35" s="11">
        <f>C35*E35</f>
        <v>75.295500000000004</v>
      </c>
      <c r="G35" s="12">
        <f>D35*$B$5</f>
        <v>37500</v>
      </c>
      <c r="H35" s="27">
        <f>G35/D35</f>
        <v>0.25</v>
      </c>
      <c r="I35" s="11">
        <f t="shared" ref="I35:I36" si="12">F35*H35</f>
        <v>18.823875000000001</v>
      </c>
      <c r="J35" s="12">
        <f>D35-G35</f>
        <v>112500</v>
      </c>
      <c r="K35" s="27">
        <f>J35/D35</f>
        <v>0.75</v>
      </c>
      <c r="L35" s="11">
        <f t="shared" ref="L35:L36" si="13">F35*K35</f>
        <v>56.471625000000003</v>
      </c>
      <c r="M35" s="24">
        <f>(IF(MAX(J34:J36)&gt;$D$6,$D$6,MAX(J34:J36)))/MAX(J34:J36)*J35</f>
        <v>30000</v>
      </c>
      <c r="N35" s="27">
        <f>M35/J35</f>
        <v>0.26666666666666666</v>
      </c>
      <c r="O35" s="25">
        <f>IF(D$6&gt;0,(J35-M35),0)</f>
        <v>82500</v>
      </c>
      <c r="P35" s="27">
        <f t="shared" si="11"/>
        <v>0.73333333333333328</v>
      </c>
      <c r="Q35" s="9">
        <f xml:space="preserve"> IF((MAX(B$34:B$36)-MAX(D$34:D$36))&gt;$D$7,$D$7,(MAX(B$34:B$36)-MAX(D$34:D$36)))/MAX(B$34:B$36)*B35</f>
        <v>3000000</v>
      </c>
      <c r="R35" s="31">
        <f>Q35/B35</f>
        <v>0.66666666666666663</v>
      </c>
      <c r="S35" s="13">
        <f>C35*R35</f>
        <v>1505.91</v>
      </c>
      <c r="T35" s="12">
        <f>B35-D35-Q35</f>
        <v>1350000</v>
      </c>
      <c r="U35" s="27">
        <f>T35/B35</f>
        <v>0.3</v>
      </c>
      <c r="V35" s="11">
        <f>C35*U35</f>
        <v>677.65950000000009</v>
      </c>
    </row>
    <row r="36" spans="1:22" x14ac:dyDescent="0.25">
      <c r="A36" s="8" t="s">
        <v>28</v>
      </c>
      <c r="B36" s="9">
        <v>125000000</v>
      </c>
      <c r="C36" s="9">
        <f t="shared" si="10"/>
        <v>62746.25</v>
      </c>
      <c r="D36" s="9">
        <f>IF(MAX(B$34:B$36)&gt;$D$4,$D$4,MAX(B$34:B$36))/MAX(B$34:B$36)*B36</f>
        <v>4166666.6666666665</v>
      </c>
      <c r="E36" s="27">
        <f>D36/B36</f>
        <v>3.3333333333333333E-2</v>
      </c>
      <c r="F36" s="11">
        <f>C36*E36</f>
        <v>2091.5416666666665</v>
      </c>
      <c r="G36" s="12">
        <f>D36*$B$5</f>
        <v>1041666.6666666666</v>
      </c>
      <c r="H36" s="27">
        <f>G36/D36</f>
        <v>0.25</v>
      </c>
      <c r="I36" s="11">
        <f t="shared" si="12"/>
        <v>522.88541666666663</v>
      </c>
      <c r="J36" s="12">
        <f>D36-G36</f>
        <v>3125000</v>
      </c>
      <c r="K36" s="27">
        <f>J36/D36</f>
        <v>0.75</v>
      </c>
      <c r="L36" s="11">
        <f t="shared" si="13"/>
        <v>1568.65625</v>
      </c>
      <c r="M36" s="24">
        <f>(IF(MAX(J34:J36)&gt;$D$6,$D$6,MAX(J34:J36)))/MAX(J34:J36)*J36</f>
        <v>833333.33333333337</v>
      </c>
      <c r="N36" s="27">
        <f>M36/J36</f>
        <v>0.26666666666666666</v>
      </c>
      <c r="O36" s="25">
        <f>IF(D$6&gt;0,(J36-M36),0)</f>
        <v>2291666.6666666665</v>
      </c>
      <c r="P36" s="27">
        <f t="shared" si="11"/>
        <v>0.73333333333333328</v>
      </c>
      <c r="Q36" s="9">
        <f xml:space="preserve"> IF((MAX(B$34:B$36)-MAX(D$34:D$36))&gt;$D$7,$D$7,(MAX(B$34:B$36)-MAX(D$34:D$36)))/MAX(B$34:B$36)*B36</f>
        <v>83333333.333333328</v>
      </c>
      <c r="R36" s="31">
        <f>Q36/B36</f>
        <v>0.66666666666666663</v>
      </c>
      <c r="S36" s="13">
        <f>C36*R36</f>
        <v>41830.833333333328</v>
      </c>
      <c r="T36" s="12">
        <f>B36-D36-Q36</f>
        <v>37500000</v>
      </c>
      <c r="U36" s="27">
        <f>T36/B36</f>
        <v>0.3</v>
      </c>
      <c r="V36" s="11">
        <f>C36*U36</f>
        <v>18823.875</v>
      </c>
    </row>
    <row r="37" spans="1:22" x14ac:dyDescent="0.25">
      <c r="A37" s="14" t="s">
        <v>29</v>
      </c>
      <c r="B37" s="17">
        <f>SUM(B34:B36)</f>
        <v>579500000</v>
      </c>
      <c r="C37" s="17">
        <f>SUM(C34:C36)</f>
        <v>290891.61499999999</v>
      </c>
      <c r="D37" s="9"/>
      <c r="E37" s="27"/>
      <c r="F37" s="11"/>
      <c r="G37" s="12"/>
      <c r="H37" s="10"/>
      <c r="I37" s="11"/>
      <c r="J37" s="12"/>
      <c r="K37" s="10"/>
      <c r="L37" s="11"/>
      <c r="M37" s="9"/>
      <c r="N37" s="8"/>
      <c r="O37" s="25"/>
      <c r="P37" s="8"/>
      <c r="Q37" s="9"/>
      <c r="R37" s="32"/>
      <c r="S37" s="13"/>
      <c r="T37" s="12"/>
      <c r="U37" s="10"/>
      <c r="V37" s="11"/>
    </row>
    <row r="40" spans="1:22" ht="75" x14ac:dyDescent="0.25">
      <c r="A40" s="16" t="s">
        <v>40</v>
      </c>
      <c r="B40" s="5" t="s">
        <v>8</v>
      </c>
      <c r="C40" s="6" t="s">
        <v>9</v>
      </c>
      <c r="D40" s="5" t="s">
        <v>4</v>
      </c>
      <c r="E40" s="5" t="s">
        <v>10</v>
      </c>
      <c r="F40" s="7" t="s">
        <v>11</v>
      </c>
      <c r="G40" s="5" t="s">
        <v>12</v>
      </c>
      <c r="H40" s="5" t="s">
        <v>13</v>
      </c>
      <c r="I40" s="7" t="s">
        <v>14</v>
      </c>
      <c r="J40" s="5" t="s">
        <v>15</v>
      </c>
      <c r="K40" s="5" t="s">
        <v>16</v>
      </c>
      <c r="L40" s="7" t="s">
        <v>17</v>
      </c>
      <c r="M40" s="5" t="s">
        <v>18</v>
      </c>
      <c r="N40" s="5" t="s">
        <v>31</v>
      </c>
      <c r="O40" s="5" t="s">
        <v>19</v>
      </c>
      <c r="P40" s="5" t="s">
        <v>32</v>
      </c>
      <c r="Q40" s="5" t="s">
        <v>20</v>
      </c>
      <c r="R40" s="5" t="s">
        <v>21</v>
      </c>
      <c r="S40" s="7" t="s">
        <v>22</v>
      </c>
      <c r="T40" s="5" t="s">
        <v>23</v>
      </c>
      <c r="U40" s="5" t="s">
        <v>24</v>
      </c>
      <c r="V40" s="7" t="s">
        <v>25</v>
      </c>
    </row>
    <row r="41" spans="1:22" x14ac:dyDescent="0.25">
      <c r="A41" s="8" t="s">
        <v>26</v>
      </c>
      <c r="B41" s="9">
        <v>450000000</v>
      </c>
      <c r="C41" s="9">
        <f>B41*B$9</f>
        <v>225886.5</v>
      </c>
      <c r="D41" s="9">
        <f>IF(MAX(B$41:B$44)&gt;$D$4,$D$4,MAX(B$41:B$44))/MAX(B$41:B$44)*B41</f>
        <v>11250000</v>
      </c>
      <c r="E41" s="27">
        <f>D41/B41</f>
        <v>2.5000000000000001E-2</v>
      </c>
      <c r="F41" s="11">
        <f>C41*E41</f>
        <v>5647.1625000000004</v>
      </c>
      <c r="G41" s="12">
        <f>D41*$B$5</f>
        <v>2812500</v>
      </c>
      <c r="H41" s="27">
        <f>G41/D41</f>
        <v>0.25</v>
      </c>
      <c r="I41" s="11">
        <f>F41*H41</f>
        <v>1411.7906250000001</v>
      </c>
      <c r="J41" s="12">
        <f>D41-G41</f>
        <v>8437500</v>
      </c>
      <c r="K41" s="27">
        <f>J41/D41</f>
        <v>0.75</v>
      </c>
      <c r="L41" s="11">
        <f>F41*K41</f>
        <v>4235.3718750000007</v>
      </c>
      <c r="M41" s="24">
        <f>(IF(MAX(J$41:J$44)&gt;$D$6,$D$6,MAX(J$41:J$44)))/MAX(J$41:J$44)*J41</f>
        <v>2250000</v>
      </c>
      <c r="N41" s="27">
        <f>M41/J41</f>
        <v>0.26666666666666666</v>
      </c>
      <c r="O41" s="9">
        <f>IF(D$6&gt;0,(J41-M41),0)</f>
        <v>6187500</v>
      </c>
      <c r="P41" s="27">
        <f>O41/J41</f>
        <v>0.73333333333333328</v>
      </c>
      <c r="Q41" s="9">
        <f xml:space="preserve"> IF((MAX(B$41:B$44)-MAX(D$41:D$44))&gt;$D$7,$D$7,(MAX(B$41:B$44)-MAX(D$41:D$44)))/MAX(B$41:B$44)*B41</f>
        <v>225000000</v>
      </c>
      <c r="R41" s="31">
        <f>Q41/B41</f>
        <v>0.5</v>
      </c>
      <c r="S41" s="13">
        <f>C41*R41</f>
        <v>112943.25</v>
      </c>
      <c r="T41" s="12">
        <f>B41-D41-Q41</f>
        <v>213750000</v>
      </c>
      <c r="U41" s="27">
        <f>T41/B41</f>
        <v>0.47499999999999998</v>
      </c>
      <c r="V41" s="11">
        <f>C41*U41</f>
        <v>107296.08749999999</v>
      </c>
    </row>
    <row r="42" spans="1:22" x14ac:dyDescent="0.25">
      <c r="A42" s="8" t="s">
        <v>27</v>
      </c>
      <c r="B42" s="9">
        <v>4500000</v>
      </c>
      <c r="C42" s="9">
        <f t="shared" ref="C42:C44" si="14">B42*B$9</f>
        <v>2258.8650000000002</v>
      </c>
      <c r="D42" s="9">
        <f>IF(MAX(B$41:B$44)&gt;$D$4,$D$4,MAX(B$41:B$44))/MAX(B$41:B$44)*B42</f>
        <v>112500</v>
      </c>
      <c r="E42" s="27">
        <f>D42/B42</f>
        <v>2.5000000000000001E-2</v>
      </c>
      <c r="F42" s="11">
        <f>C42*E42</f>
        <v>56.47162500000001</v>
      </c>
      <c r="G42" s="12">
        <f>D42*$B$5</f>
        <v>28125</v>
      </c>
      <c r="H42" s="27">
        <f>G42/D42</f>
        <v>0.25</v>
      </c>
      <c r="I42" s="11">
        <f t="shared" ref="I42:I43" si="15">F42*H42</f>
        <v>14.117906250000003</v>
      </c>
      <c r="J42" s="12">
        <f>D42-G42</f>
        <v>84375</v>
      </c>
      <c r="K42" s="27">
        <f>J42/D42</f>
        <v>0.75</v>
      </c>
      <c r="L42" s="11">
        <f t="shared" ref="L42:L44" si="16">F42*K42</f>
        <v>42.353718750000006</v>
      </c>
      <c r="M42" s="24">
        <f>(IF(MAX(J$41:J$44)&gt;$D$6,$D$6,MAX(J$41:J$44)))/MAX(J$41:J$44)*J42</f>
        <v>22500</v>
      </c>
      <c r="N42" s="27">
        <f>M42/J42</f>
        <v>0.26666666666666666</v>
      </c>
      <c r="O42" s="9">
        <f>IF(D$6&gt;0,(J42-M42),0)</f>
        <v>61875</v>
      </c>
      <c r="P42" s="27">
        <f t="shared" ref="P42:P44" si="17">O42/J42</f>
        <v>0.73333333333333328</v>
      </c>
      <c r="Q42" s="9">
        <f xml:space="preserve"> IF((MAX(B$41:B$44)-MAX(D$41:D$44))&gt;$D$7,$D$7,(MAX(B$41:B$44)-MAX(D$41:D$44)))/MAX(B$41:B$44)*B42</f>
        <v>2250000</v>
      </c>
      <c r="R42" s="31">
        <f>Q42/B42</f>
        <v>0.5</v>
      </c>
      <c r="S42" s="13">
        <f>C42*R42</f>
        <v>1129.4325000000001</v>
      </c>
      <c r="T42" s="12">
        <f>B42-D42-Q42</f>
        <v>2137500</v>
      </c>
      <c r="U42" s="27">
        <f>T42/B42</f>
        <v>0.47499999999999998</v>
      </c>
      <c r="V42" s="11">
        <f>C42*U42</f>
        <v>1072.960875</v>
      </c>
    </row>
    <row r="43" spans="1:22" x14ac:dyDescent="0.25">
      <c r="A43" s="8" t="s">
        <v>28</v>
      </c>
      <c r="B43" s="9">
        <v>125000000</v>
      </c>
      <c r="C43" s="9">
        <f t="shared" si="14"/>
        <v>62746.25</v>
      </c>
      <c r="D43" s="9">
        <f>IF(MAX(B$41:B$44)&gt;$D$4,$D$4,MAX(B$41:B$44))/MAX(B$41:B$44)*B43</f>
        <v>3125000</v>
      </c>
      <c r="E43" s="27">
        <f>D43/B43</f>
        <v>2.5000000000000001E-2</v>
      </c>
      <c r="F43" s="11">
        <f t="shared" ref="F43" si="18">C43*E43</f>
        <v>1568.65625</v>
      </c>
      <c r="G43" s="12">
        <f>D43*$B$5</f>
        <v>781250</v>
      </c>
      <c r="H43" s="27">
        <f>G43/D43</f>
        <v>0.25</v>
      </c>
      <c r="I43" s="11">
        <f t="shared" si="15"/>
        <v>392.1640625</v>
      </c>
      <c r="J43" s="12">
        <f>D43-G43</f>
        <v>2343750</v>
      </c>
      <c r="K43" s="27">
        <f>J43/D43</f>
        <v>0.75</v>
      </c>
      <c r="L43" s="11">
        <f t="shared" si="16"/>
        <v>1176.4921875</v>
      </c>
      <c r="M43" s="24">
        <f>(IF(MAX(J$41:J$44)&gt;$D$6,$D$6,MAX(J$41:J$44)))/MAX(J$41:J$44)*J43</f>
        <v>625000</v>
      </c>
      <c r="N43" s="27">
        <f t="shared" ref="N43:N44" si="19">M43/J43</f>
        <v>0.26666666666666666</v>
      </c>
      <c r="O43" s="9">
        <f>IF(D$6&gt;0,(J43-M43),0)</f>
        <v>1718750</v>
      </c>
      <c r="P43" s="27">
        <f t="shared" si="17"/>
        <v>0.73333333333333328</v>
      </c>
      <c r="Q43" s="9">
        <f xml:space="preserve"> IF((MAX(B$41:B$44)-MAX(D$41:D$44))&gt;$D$7,$D$7,(MAX(B$41:B$44)-MAX(D$41:D$44)))/MAX(B$41:B$44)*B43</f>
        <v>62500000</v>
      </c>
      <c r="R43" s="31">
        <f>Q43/B43</f>
        <v>0.5</v>
      </c>
      <c r="S43" s="13">
        <f>C43*R43</f>
        <v>31373.125</v>
      </c>
      <c r="T43" s="12">
        <f>B43-D43-Q43</f>
        <v>59375000</v>
      </c>
      <c r="U43" s="27">
        <f>T43/B43</f>
        <v>0.47499999999999998</v>
      </c>
      <c r="V43" s="11">
        <f>C43*U43</f>
        <v>29804.46875</v>
      </c>
    </row>
    <row r="44" spans="1:22" x14ac:dyDescent="0.25">
      <c r="A44" s="18" t="s">
        <v>30</v>
      </c>
      <c r="B44" s="9">
        <v>600000000</v>
      </c>
      <c r="C44" s="9">
        <f t="shared" si="14"/>
        <v>301182</v>
      </c>
      <c r="D44" s="9">
        <f>IF(MAX(B$41:B$44)&gt;$D$4,$D$4,MAX(B$41:B$44))/MAX(B$41:B$44)*B44</f>
        <v>15000000</v>
      </c>
      <c r="E44" s="27">
        <f>D44/B44</f>
        <v>2.5000000000000001E-2</v>
      </c>
      <c r="F44" s="11">
        <f>C44*E44</f>
        <v>7529.55</v>
      </c>
      <c r="G44" s="12">
        <f>D44*$B$5</f>
        <v>3750000</v>
      </c>
      <c r="H44" s="27">
        <f>G44/D44</f>
        <v>0.25</v>
      </c>
      <c r="I44" s="11">
        <f>F44*H44</f>
        <v>1882.3875</v>
      </c>
      <c r="J44" s="12">
        <f>D44-G44</f>
        <v>11250000</v>
      </c>
      <c r="K44" s="27">
        <f>J44/D44</f>
        <v>0.75</v>
      </c>
      <c r="L44" s="11">
        <f t="shared" si="16"/>
        <v>5647.1625000000004</v>
      </c>
      <c r="M44" s="24">
        <f>(IF(MAX(J$41:J$44)&gt;$D$6,$D$6,MAX(J$41:J$44)))/MAX(J$41:J$44)*J44</f>
        <v>3000000</v>
      </c>
      <c r="N44" s="27">
        <f t="shared" si="19"/>
        <v>0.26666666666666666</v>
      </c>
      <c r="O44" s="9">
        <f>IF(D$6&gt;0,(J44-M44),0)</f>
        <v>8250000</v>
      </c>
      <c r="P44" s="27">
        <f t="shared" si="17"/>
        <v>0.73333333333333328</v>
      </c>
      <c r="Q44" s="9">
        <f xml:space="preserve"> IF((MAX(B$41:B$44)-MAX(D$41:D$44))&gt;$D$7,$D$7,(MAX(B$41:B$44)-MAX(D$41:D$44)))/MAX(B$41:B$44)*B44</f>
        <v>300000000</v>
      </c>
      <c r="R44" s="31">
        <f>Q44/B44</f>
        <v>0.5</v>
      </c>
      <c r="S44" s="13">
        <f>C44*R44</f>
        <v>150591</v>
      </c>
      <c r="T44" s="12">
        <f>B44-D44-Q44</f>
        <v>285000000</v>
      </c>
      <c r="U44" s="27">
        <f>T44/B44</f>
        <v>0.47499999999999998</v>
      </c>
      <c r="V44" s="11">
        <f>C44*U44</f>
        <v>143061.44999999998</v>
      </c>
    </row>
    <row r="45" spans="1:22" x14ac:dyDescent="0.25">
      <c r="A45" s="14" t="s">
        <v>29</v>
      </c>
      <c r="B45" s="15">
        <f>SUM(B41:B44)</f>
        <v>1179500000</v>
      </c>
      <c r="C45" s="15">
        <f>SUM(C41:C44)</f>
        <v>592073.61499999999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27"/>
      <c r="O45" s="8"/>
      <c r="P45" s="27"/>
      <c r="Q45" s="8"/>
      <c r="R45" s="18"/>
      <c r="S45" s="8"/>
      <c r="T45" s="8"/>
      <c r="U45" s="8"/>
      <c r="V45" s="8"/>
    </row>
    <row r="46" spans="1:22" x14ac:dyDescent="0.25">
      <c r="B46" s="19"/>
    </row>
    <row r="47" spans="1:22" x14ac:dyDescent="0.25">
      <c r="B47" s="4"/>
      <c r="C47" s="4"/>
    </row>
    <row r="48" spans="1:22" x14ac:dyDescent="0.25">
      <c r="B48" s="4"/>
      <c r="C48" s="20"/>
      <c r="D48" s="4"/>
    </row>
    <row r="49" spans="1:22" ht="60" x14ac:dyDescent="0.25">
      <c r="A49" s="16" t="s">
        <v>43</v>
      </c>
      <c r="B49" s="5" t="s">
        <v>8</v>
      </c>
      <c r="C49" s="6" t="s">
        <v>9</v>
      </c>
      <c r="D49" s="5" t="s">
        <v>4</v>
      </c>
      <c r="E49" s="5" t="s">
        <v>10</v>
      </c>
      <c r="F49" s="7" t="s">
        <v>11</v>
      </c>
      <c r="G49" s="5" t="s">
        <v>12</v>
      </c>
      <c r="H49" s="5" t="s">
        <v>13</v>
      </c>
      <c r="I49" s="7" t="s">
        <v>14</v>
      </c>
      <c r="J49" s="5" t="s">
        <v>15</v>
      </c>
      <c r="K49" s="5" t="s">
        <v>16</v>
      </c>
      <c r="L49" s="7" t="s">
        <v>17</v>
      </c>
      <c r="M49" s="5" t="s">
        <v>18</v>
      </c>
      <c r="N49" s="5" t="s">
        <v>31</v>
      </c>
      <c r="O49" s="5" t="s">
        <v>19</v>
      </c>
      <c r="P49" s="5" t="s">
        <v>32</v>
      </c>
      <c r="Q49" s="5" t="s">
        <v>20</v>
      </c>
      <c r="R49" s="5" t="s">
        <v>21</v>
      </c>
      <c r="S49" s="7" t="s">
        <v>22</v>
      </c>
      <c r="T49" s="5" t="s">
        <v>23</v>
      </c>
      <c r="U49" s="5" t="s">
        <v>24</v>
      </c>
      <c r="V49" s="7" t="s">
        <v>25</v>
      </c>
    </row>
    <row r="50" spans="1:22" x14ac:dyDescent="0.25">
      <c r="A50" s="8" t="s">
        <v>26</v>
      </c>
      <c r="B50" s="9">
        <v>450000000</v>
      </c>
      <c r="C50" s="9">
        <f>B50*B$9</f>
        <v>225886.5</v>
      </c>
      <c r="D50" s="24">
        <f>INDEX(D$50:D$53,MATCH(MAX(B$50:B$53),B$50:B$53,0))/MAX(B$50:B$53)*B50</f>
        <v>9375000</v>
      </c>
      <c r="E50" s="27">
        <f>D50/B50</f>
        <v>2.0833333333333332E-2</v>
      </c>
      <c r="F50" s="11">
        <f>C50*E50</f>
        <v>4705.96875</v>
      </c>
      <c r="G50" s="12">
        <f>D50*$B$5</f>
        <v>2343750</v>
      </c>
      <c r="H50" s="27">
        <f>G50/D50</f>
        <v>0.25</v>
      </c>
      <c r="I50" s="11">
        <f>F50*H50</f>
        <v>1176.4921875</v>
      </c>
      <c r="J50" s="12">
        <f>D50-G50</f>
        <v>7031250</v>
      </c>
      <c r="K50" s="27">
        <f>J50/D50</f>
        <v>0.75</v>
      </c>
      <c r="L50" s="11">
        <f>F50*K50</f>
        <v>3529.4765625</v>
      </c>
      <c r="M50" s="24">
        <f>(IF(MAX(J$50:J$53)&gt;$D$6,$D$6,MAX(J$50:J$53)))/MAX(J$50:J$53)*J50</f>
        <v>2250000</v>
      </c>
      <c r="N50" s="27">
        <f>M50/J50</f>
        <v>0.32</v>
      </c>
      <c r="O50" s="9">
        <f>IF(D$6&gt;0,(J50-M50),0)</f>
        <v>4781250</v>
      </c>
      <c r="P50" s="27">
        <f>O50/J50</f>
        <v>0.68</v>
      </c>
      <c r="Q50" s="9">
        <f xml:space="preserve"> IF((MAX(B$50:B$53)-MAX(D$50:D$53))&gt;$D$7,$D$7,(MAX(B$50:B$53)-MAX(D$50:D$53)))/MAX(B$50:B$53)*B50</f>
        <v>225000000</v>
      </c>
      <c r="R50" s="31">
        <f>Q50/B50</f>
        <v>0.5</v>
      </c>
      <c r="S50" s="13">
        <f>C50*R50</f>
        <v>112943.25</v>
      </c>
      <c r="T50" s="12">
        <f>B50-D50-Q50</f>
        <v>215625000</v>
      </c>
      <c r="U50" s="27">
        <f>T50/B50</f>
        <v>0.47916666666666669</v>
      </c>
      <c r="V50" s="11">
        <f>C50*U50</f>
        <v>108237.28125</v>
      </c>
    </row>
    <row r="51" spans="1:22" x14ac:dyDescent="0.25">
      <c r="A51" s="8" t="s">
        <v>27</v>
      </c>
      <c r="B51" s="9">
        <v>4500000</v>
      </c>
      <c r="C51" s="9">
        <f t="shared" ref="C51:C52" si="20">B51*B$9</f>
        <v>2258.8650000000002</v>
      </c>
      <c r="D51" s="24">
        <f t="shared" ref="D50:D51" si="21">INDEX(D$50:D$53,MATCH(MAX(B$50:B$53),B$50:B$53,0))/MAX(B$50:B$53)*B51</f>
        <v>93750</v>
      </c>
      <c r="E51" s="27">
        <f>D51/B51</f>
        <v>2.0833333333333332E-2</v>
      </c>
      <c r="F51" s="11">
        <f>C51*E51</f>
        <v>47.059687500000003</v>
      </c>
      <c r="G51" s="12">
        <f>D51*$B$5</f>
        <v>23437.5</v>
      </c>
      <c r="H51" s="27">
        <f>G51/D51</f>
        <v>0.25</v>
      </c>
      <c r="I51" s="11">
        <f t="shared" ref="I51:I52" si="22">F51*H51</f>
        <v>11.764921875000001</v>
      </c>
      <c r="J51" s="12">
        <f>D51-G51</f>
        <v>70312.5</v>
      </c>
      <c r="K51" s="27">
        <f>J51/D51</f>
        <v>0.75</v>
      </c>
      <c r="L51" s="11">
        <f t="shared" ref="L51:L53" si="23">F51*K51</f>
        <v>35.294765625000004</v>
      </c>
      <c r="M51" s="24">
        <f>(IF(MAX(J$50:J$53)&gt;$D$6,$D$6,MAX(J$50:J$53)))/MAX(J$50:J$53)*J51</f>
        <v>22500</v>
      </c>
      <c r="N51" s="27">
        <f>M51/J51</f>
        <v>0.32</v>
      </c>
      <c r="O51" s="9">
        <f>IF(D$6&gt;0,(J51-M51),0)</f>
        <v>47812.5</v>
      </c>
      <c r="P51" s="27">
        <f t="shared" ref="P51:P53" si="24">O51/J51</f>
        <v>0.68</v>
      </c>
      <c r="Q51" s="9">
        <f t="shared" ref="Q51:Q53" si="25" xml:space="preserve"> IF((MAX(B$50:B$53)-MAX(D$50:D$53))&gt;$D$7,$D$7,(MAX(B$50:B$53)-MAX(D$50:D$53)))/MAX(B$50:B$53)*B51</f>
        <v>2250000</v>
      </c>
      <c r="R51" s="31">
        <f>Q51/B51</f>
        <v>0.5</v>
      </c>
      <c r="S51" s="13">
        <f>C51*R51</f>
        <v>1129.4325000000001</v>
      </c>
      <c r="T51" s="12">
        <f>B51-D51-Q51</f>
        <v>2156250</v>
      </c>
      <c r="U51" s="27">
        <f>T51/B51</f>
        <v>0.47916666666666669</v>
      </c>
      <c r="V51" s="11">
        <f>C51*U51</f>
        <v>1082.3728125000002</v>
      </c>
    </row>
    <row r="52" spans="1:22" x14ac:dyDescent="0.25">
      <c r="A52" s="8" t="s">
        <v>28</v>
      </c>
      <c r="B52" s="9">
        <v>125000000</v>
      </c>
      <c r="C52" s="9">
        <f t="shared" si="20"/>
        <v>62746.25</v>
      </c>
      <c r="D52" s="24">
        <f>INDEX(D$50:D$53,MATCH(MAX(B$50:B$53),B$50:B$53,0))/MAX(B$50:B$53)*B52</f>
        <v>2604166.6666666665</v>
      </c>
      <c r="E52" s="27">
        <f>D52/B52</f>
        <v>2.0833333333333332E-2</v>
      </c>
      <c r="F52" s="11">
        <f t="shared" ref="F52" si="26">C52*E52</f>
        <v>1307.2135416666665</v>
      </c>
      <c r="G52" s="12">
        <f>D52*$B$5</f>
        <v>651041.66666666663</v>
      </c>
      <c r="H52" s="27">
        <f>G52/D52</f>
        <v>0.25</v>
      </c>
      <c r="I52" s="11">
        <f t="shared" si="22"/>
        <v>326.80338541666663</v>
      </c>
      <c r="J52" s="12">
        <f>D52-G52</f>
        <v>1953125</v>
      </c>
      <c r="K52" s="27">
        <f>J52/D52</f>
        <v>0.75</v>
      </c>
      <c r="L52" s="11">
        <f t="shared" si="23"/>
        <v>980.41015624999989</v>
      </c>
      <c r="M52" s="24">
        <f>(IF(MAX(J$50:J$53)&gt;$D$6,$D$6,MAX(J$50:J$53)))/MAX(J$50:J$53)*J52</f>
        <v>625000</v>
      </c>
      <c r="N52" s="27">
        <f t="shared" ref="N52" si="27">M52/J52</f>
        <v>0.32</v>
      </c>
      <c r="O52" s="9">
        <f>IF(D$6&gt;0,(J52-M52),0)</f>
        <v>1328125</v>
      </c>
      <c r="P52" s="27">
        <f t="shared" si="24"/>
        <v>0.68</v>
      </c>
      <c r="Q52" s="9">
        <f t="shared" si="25"/>
        <v>62500000</v>
      </c>
      <c r="R52" s="31">
        <f>Q52/B52</f>
        <v>0.5</v>
      </c>
      <c r="S52" s="13">
        <f>C52*R52</f>
        <v>31373.125</v>
      </c>
      <c r="T52" s="12">
        <f>B52-D52-Q52</f>
        <v>59895833.333333328</v>
      </c>
      <c r="U52" s="27">
        <f>T52/B52</f>
        <v>0.47916666666666663</v>
      </c>
      <c r="V52" s="11">
        <f>C52*U52</f>
        <v>30065.911458333332</v>
      </c>
    </row>
    <row r="53" spans="1:22" x14ac:dyDescent="0.25">
      <c r="A53" s="18" t="s">
        <v>30</v>
      </c>
      <c r="B53" s="9">
        <v>600000000</v>
      </c>
      <c r="C53" s="9">
        <f>B53*B$9</f>
        <v>301182</v>
      </c>
      <c r="D53" s="38">
        <v>12500000</v>
      </c>
      <c r="E53" s="27">
        <f>D53/B53</f>
        <v>2.0833333333333332E-2</v>
      </c>
      <c r="F53" s="11">
        <f>C53*E53</f>
        <v>6274.625</v>
      </c>
      <c r="G53" s="12">
        <f>D53*$B$5</f>
        <v>3125000</v>
      </c>
      <c r="H53" s="27">
        <f>G53/D53</f>
        <v>0.25</v>
      </c>
      <c r="I53" s="11">
        <f>F53*H53</f>
        <v>1568.65625</v>
      </c>
      <c r="J53" s="12">
        <f>D53-G53</f>
        <v>9375000</v>
      </c>
      <c r="K53" s="27">
        <f>J53/D53</f>
        <v>0.75</v>
      </c>
      <c r="L53" s="11">
        <f t="shared" si="23"/>
        <v>4705.96875</v>
      </c>
      <c r="M53" s="24">
        <f>(IF(MAX(J$50:J$53)&gt;$D$6,$D$6,MAX(J$50:J$53)))/MAX(J$50:J$53)*J53</f>
        <v>3000000</v>
      </c>
      <c r="N53" s="27">
        <f>M53/J53</f>
        <v>0.32</v>
      </c>
      <c r="O53" s="9">
        <f>IF(D$6&gt;0,(J53-M53),0)</f>
        <v>6375000</v>
      </c>
      <c r="P53" s="27">
        <f t="shared" si="24"/>
        <v>0.68</v>
      </c>
      <c r="Q53" s="9">
        <f t="shared" si="25"/>
        <v>300000000</v>
      </c>
      <c r="R53" s="31">
        <f>Q53/B53</f>
        <v>0.5</v>
      </c>
      <c r="S53" s="13">
        <f>C53*R53</f>
        <v>150591</v>
      </c>
      <c r="T53" s="12">
        <f>B53-D53-Q53</f>
        <v>287500000</v>
      </c>
      <c r="U53" s="27">
        <f>T53/B53</f>
        <v>0.47916666666666669</v>
      </c>
      <c r="V53" s="11">
        <f>C53*U53</f>
        <v>144316.375</v>
      </c>
    </row>
    <row r="54" spans="1:22" x14ac:dyDescent="0.25">
      <c r="A54" s="14" t="s">
        <v>29</v>
      </c>
      <c r="B54" s="15">
        <f>SUM(B50:B53)</f>
        <v>1179500000</v>
      </c>
      <c r="C54" s="15">
        <f>SUM(C50:C53)</f>
        <v>592073.61499999999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27"/>
      <c r="O54" s="8"/>
      <c r="P54" s="27"/>
      <c r="Q54" s="8"/>
      <c r="R54" s="18"/>
      <c r="S54" s="8"/>
      <c r="T54" s="8"/>
      <c r="U54" s="8"/>
      <c r="V54" s="8"/>
    </row>
    <row r="56" spans="1:22" ht="60" x14ac:dyDescent="0.25">
      <c r="A56" s="16" t="s">
        <v>47</v>
      </c>
      <c r="B56" s="5" t="s">
        <v>8</v>
      </c>
      <c r="C56" s="6" t="s">
        <v>9</v>
      </c>
      <c r="D56" s="5" t="s">
        <v>4</v>
      </c>
      <c r="E56" s="5" t="s">
        <v>10</v>
      </c>
      <c r="F56" s="7" t="s">
        <v>11</v>
      </c>
      <c r="G56" s="5" t="s">
        <v>12</v>
      </c>
      <c r="H56" s="5" t="s">
        <v>13</v>
      </c>
      <c r="I56" s="7" t="s">
        <v>14</v>
      </c>
      <c r="J56" s="5" t="s">
        <v>15</v>
      </c>
      <c r="K56" s="5" t="s">
        <v>16</v>
      </c>
      <c r="L56" s="7" t="s">
        <v>17</v>
      </c>
      <c r="M56" s="5" t="s">
        <v>18</v>
      </c>
      <c r="N56" s="5" t="s">
        <v>31</v>
      </c>
      <c r="O56" s="5" t="s">
        <v>19</v>
      </c>
      <c r="P56" s="5" t="s">
        <v>32</v>
      </c>
      <c r="Q56" s="5" t="s">
        <v>20</v>
      </c>
      <c r="R56" s="5" t="s">
        <v>21</v>
      </c>
      <c r="S56" s="7" t="s">
        <v>22</v>
      </c>
      <c r="T56" s="5" t="s">
        <v>23</v>
      </c>
      <c r="U56" s="5" t="s">
        <v>24</v>
      </c>
      <c r="V56" s="7" t="s">
        <v>25</v>
      </c>
    </row>
    <row r="57" spans="1:22" x14ac:dyDescent="0.25">
      <c r="A57" s="8" t="s">
        <v>26</v>
      </c>
      <c r="B57" s="9">
        <v>450000000</v>
      </c>
      <c r="C57" s="9">
        <f>B57*B$9</f>
        <v>225886.5</v>
      </c>
      <c r="D57" s="24">
        <f>INDEX(D$57:D$60,MATCH(MAX(B$57:B$60),B$57:B$60,0))/MAX(B$57:B$60)*B57</f>
        <v>9375000</v>
      </c>
      <c r="E57" s="27">
        <f>D57/B57</f>
        <v>2.0833333333333332E-2</v>
      </c>
      <c r="F57" s="11">
        <f>C57*E57</f>
        <v>4705.96875</v>
      </c>
      <c r="G57" s="12">
        <f>D57*$B$5</f>
        <v>2343750</v>
      </c>
      <c r="H57" s="27">
        <f>G57/D57</f>
        <v>0.25</v>
      </c>
      <c r="I57" s="11">
        <f>F57*H57</f>
        <v>1176.4921875</v>
      </c>
      <c r="J57" s="12">
        <f>D57-G57</f>
        <v>7031250</v>
      </c>
      <c r="K57" s="27">
        <f>J57/D57</f>
        <v>0.75</v>
      </c>
      <c r="L57" s="11">
        <f>F57*K57</f>
        <v>3529.4765625</v>
      </c>
      <c r="M57" s="24">
        <f>(IF(MAX(J$57:J$60)&gt;$D$6,$D$6,MAX(J$57:J$60)))/MAX(J$57:J$60)*J57</f>
        <v>2250000</v>
      </c>
      <c r="N57" s="27">
        <f>M57/J57</f>
        <v>0.32</v>
      </c>
      <c r="O57" s="9">
        <f>IF(D$6&gt;0,(J57-M57),0)</f>
        <v>4781250</v>
      </c>
      <c r="P57" s="27">
        <f>O57/J57</f>
        <v>0.68</v>
      </c>
      <c r="Q57" s="9">
        <f xml:space="preserve"> IF((MAX(B$57:B$60)-MAX(D$57:D$60))&gt;$D$7,$D$7,(MAX(B$57:B$60)-MAX(D$57:D$60)))/MAX(B$57:B$60)*B57</f>
        <v>225000000</v>
      </c>
      <c r="R57" s="31">
        <f>Q57/B57</f>
        <v>0.5</v>
      </c>
      <c r="S57" s="13">
        <f>C57*R57</f>
        <v>112943.25</v>
      </c>
      <c r="T57" s="12">
        <f>B57-D57-Q57</f>
        <v>215625000</v>
      </c>
      <c r="U57" s="27">
        <f>T57/B57</f>
        <v>0.47916666666666669</v>
      </c>
      <c r="V57" s="11">
        <f>C57*U57</f>
        <v>108237.28125</v>
      </c>
    </row>
    <row r="58" spans="1:22" x14ac:dyDescent="0.25">
      <c r="A58" s="8" t="s">
        <v>27</v>
      </c>
      <c r="B58" s="9">
        <v>4500000</v>
      </c>
      <c r="C58" s="9">
        <f t="shared" ref="C58:C59" si="28">B58*B$9</f>
        <v>2258.8650000000002</v>
      </c>
      <c r="D58" s="24">
        <f t="shared" ref="D58:D59" si="29">INDEX(D$57:D$60,MATCH(MAX(B$57:B$60),B$57:B$60,0))/MAX(B$57:B$60)*B58</f>
        <v>93750</v>
      </c>
      <c r="E58" s="27">
        <f>D58/B58</f>
        <v>2.0833333333333332E-2</v>
      </c>
      <c r="F58" s="11">
        <f>C58*E58</f>
        <v>47.059687500000003</v>
      </c>
      <c r="G58" s="12">
        <f>D58*$B$5</f>
        <v>23437.5</v>
      </c>
      <c r="H58" s="27">
        <f>G58/D58</f>
        <v>0.25</v>
      </c>
      <c r="I58" s="11">
        <f t="shared" ref="I58:I59" si="30">F58*H58</f>
        <v>11.764921875000001</v>
      </c>
      <c r="J58" s="12">
        <f>D58-G58</f>
        <v>70312.5</v>
      </c>
      <c r="K58" s="27">
        <f>J58/D58</f>
        <v>0.75</v>
      </c>
      <c r="L58" s="11">
        <f t="shared" ref="L58:L60" si="31">F58*K58</f>
        <v>35.294765625000004</v>
      </c>
      <c r="M58" s="24">
        <f t="shared" ref="M58:M60" si="32">(IF(MAX(J$57:J$60)&gt;$D$6,$D$6,MAX(J$57:J$60)))/MAX(J$57:J$60)*J58</f>
        <v>22500</v>
      </c>
      <c r="N58" s="27">
        <f>M58/J58</f>
        <v>0.32</v>
      </c>
      <c r="O58" s="9">
        <f>IF(D$6&gt;0,(J58-M58),0)</f>
        <v>47812.5</v>
      </c>
      <c r="P58" s="27">
        <f t="shared" ref="P58:P60" si="33">O58/J58</f>
        <v>0.68</v>
      </c>
      <c r="Q58" s="9">
        <f t="shared" ref="Q58:Q60" si="34" xml:space="preserve"> IF((MAX(B$57:B$60)-MAX(D$57:D$60))&gt;$D$7,$D$7,(MAX(B$57:B$60)-MAX(D$57:D$60)))/MAX(B$57:B$60)*B58</f>
        <v>2250000</v>
      </c>
      <c r="R58" s="31">
        <f>Q58/B58</f>
        <v>0.5</v>
      </c>
      <c r="S58" s="13">
        <f>C58*R58</f>
        <v>1129.4325000000001</v>
      </c>
      <c r="T58" s="12">
        <f>B58-D58-Q58</f>
        <v>2156250</v>
      </c>
      <c r="U58" s="27">
        <f>T58/B58</f>
        <v>0.47916666666666669</v>
      </c>
      <c r="V58" s="11">
        <f>C58*U58</f>
        <v>1082.3728125000002</v>
      </c>
    </row>
    <row r="59" spans="1:22" x14ac:dyDescent="0.25">
      <c r="A59" s="8" t="s">
        <v>28</v>
      </c>
      <c r="B59" s="9">
        <v>125000000</v>
      </c>
      <c r="C59" s="9">
        <f t="shared" si="28"/>
        <v>62746.25</v>
      </c>
      <c r="D59" s="24">
        <f t="shared" si="29"/>
        <v>2604166.6666666665</v>
      </c>
      <c r="E59" s="27">
        <f>D59/B59</f>
        <v>2.0833333333333332E-2</v>
      </c>
      <c r="F59" s="11">
        <f t="shared" ref="F59" si="35">C59*E59</f>
        <v>1307.2135416666665</v>
      </c>
      <c r="G59" s="12">
        <f>D59*$B$5</f>
        <v>651041.66666666663</v>
      </c>
      <c r="H59" s="27">
        <f>G59/D59</f>
        <v>0.25</v>
      </c>
      <c r="I59" s="11">
        <f t="shared" si="30"/>
        <v>326.80338541666663</v>
      </c>
      <c r="J59" s="12">
        <f>D59-G59</f>
        <v>1953125</v>
      </c>
      <c r="K59" s="27">
        <f>J59/D59</f>
        <v>0.75</v>
      </c>
      <c r="L59" s="11">
        <f t="shared" si="31"/>
        <v>980.41015624999989</v>
      </c>
      <c r="M59" s="24">
        <f t="shared" si="32"/>
        <v>625000</v>
      </c>
      <c r="N59" s="27">
        <f t="shared" ref="N59" si="36">M59/J59</f>
        <v>0.32</v>
      </c>
      <c r="O59" s="9">
        <f>IF(D$6&gt;0,(J59-M59),0)</f>
        <v>1328125</v>
      </c>
      <c r="P59" s="27">
        <f t="shared" si="33"/>
        <v>0.68</v>
      </c>
      <c r="Q59" s="9">
        <f t="shared" si="34"/>
        <v>62500000</v>
      </c>
      <c r="R59" s="31">
        <f>Q59/B59</f>
        <v>0.5</v>
      </c>
      <c r="S59" s="13">
        <f>C59*R59</f>
        <v>31373.125</v>
      </c>
      <c r="T59" s="12">
        <f>B59-D59-Q59</f>
        <v>59895833.333333328</v>
      </c>
      <c r="U59" s="27">
        <f>T59/B59</f>
        <v>0.47916666666666663</v>
      </c>
      <c r="V59" s="11">
        <f>C59*U59</f>
        <v>30065.911458333332</v>
      </c>
    </row>
    <row r="60" spans="1:22" x14ac:dyDescent="0.25">
      <c r="A60" s="18" t="s">
        <v>30</v>
      </c>
      <c r="B60" s="9">
        <v>600000000</v>
      </c>
      <c r="C60" s="9">
        <f>B60*B$9</f>
        <v>301182</v>
      </c>
      <c r="D60" s="38">
        <v>12500000</v>
      </c>
      <c r="E60" s="27">
        <f>D60/B60</f>
        <v>2.0833333333333332E-2</v>
      </c>
      <c r="F60" s="11">
        <f>C60*E60</f>
        <v>6274.625</v>
      </c>
      <c r="G60" s="12">
        <f>D60*$B$5</f>
        <v>3125000</v>
      </c>
      <c r="H60" s="27">
        <f>G60/D60</f>
        <v>0.25</v>
      </c>
      <c r="I60" s="11">
        <f>F60*H60</f>
        <v>1568.65625</v>
      </c>
      <c r="J60" s="12">
        <f>D60-G60</f>
        <v>9375000</v>
      </c>
      <c r="K60" s="27">
        <f>J60/D60</f>
        <v>0.75</v>
      </c>
      <c r="L60" s="11">
        <f t="shared" si="31"/>
        <v>4705.96875</v>
      </c>
      <c r="M60" s="24">
        <f t="shared" si="32"/>
        <v>3000000</v>
      </c>
      <c r="N60" s="27">
        <f>M60/J60</f>
        <v>0.32</v>
      </c>
      <c r="O60" s="9">
        <f>IF(D$6&gt;0,(J60-M60),0)</f>
        <v>6375000</v>
      </c>
      <c r="P60" s="27">
        <f t="shared" si="33"/>
        <v>0.68</v>
      </c>
      <c r="Q60" s="9">
        <f t="shared" si="34"/>
        <v>300000000</v>
      </c>
      <c r="R60" s="31">
        <f>Q60/B60</f>
        <v>0.5</v>
      </c>
      <c r="S60" s="13">
        <f>C60*R60</f>
        <v>150591</v>
      </c>
      <c r="T60" s="12">
        <f>B60-D60-Q60</f>
        <v>287500000</v>
      </c>
      <c r="U60" s="27">
        <f>T60/B60</f>
        <v>0.47916666666666669</v>
      </c>
      <c r="V60" s="11">
        <f>C60*U60</f>
        <v>144316.375</v>
      </c>
    </row>
    <row r="61" spans="1:22" x14ac:dyDescent="0.25">
      <c r="A61" s="14" t="s">
        <v>29</v>
      </c>
      <c r="B61" s="15">
        <f>SUM(B57:B60)</f>
        <v>1179500000</v>
      </c>
      <c r="C61" s="15">
        <f>SUM(C57:C60)</f>
        <v>592073.61499999999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27"/>
      <c r="O61" s="8"/>
      <c r="P61" s="27"/>
      <c r="Q61" s="8"/>
      <c r="R61" s="18"/>
      <c r="S61" s="8"/>
      <c r="T61" s="8"/>
      <c r="U61" s="8"/>
      <c r="V61" s="8"/>
    </row>
    <row r="63" spans="1:22" ht="75" x14ac:dyDescent="0.25">
      <c r="A63" s="16" t="s">
        <v>44</v>
      </c>
      <c r="B63" s="5" t="s">
        <v>8</v>
      </c>
      <c r="C63" s="6" t="s">
        <v>9</v>
      </c>
      <c r="D63" s="5" t="s">
        <v>4</v>
      </c>
      <c r="E63" s="5" t="s">
        <v>10</v>
      </c>
      <c r="F63" s="7" t="s">
        <v>11</v>
      </c>
      <c r="G63" s="5" t="s">
        <v>12</v>
      </c>
      <c r="H63" s="5" t="s">
        <v>13</v>
      </c>
      <c r="I63" s="7" t="s">
        <v>14</v>
      </c>
      <c r="J63" s="5" t="s">
        <v>15</v>
      </c>
      <c r="K63" s="5" t="s">
        <v>16</v>
      </c>
      <c r="L63" s="7" t="s">
        <v>17</v>
      </c>
      <c r="M63" s="5" t="s">
        <v>18</v>
      </c>
      <c r="N63" s="5" t="s">
        <v>31</v>
      </c>
      <c r="O63" s="5" t="s">
        <v>19</v>
      </c>
      <c r="P63" s="5" t="s">
        <v>32</v>
      </c>
      <c r="Q63" s="5" t="s">
        <v>20</v>
      </c>
      <c r="R63" s="5" t="s">
        <v>21</v>
      </c>
      <c r="S63" s="7" t="s">
        <v>22</v>
      </c>
      <c r="T63" s="5" t="s">
        <v>23</v>
      </c>
      <c r="U63" s="5" t="s">
        <v>24</v>
      </c>
      <c r="V63" s="7" t="s">
        <v>25</v>
      </c>
    </row>
    <row r="64" spans="1:22" x14ac:dyDescent="0.25">
      <c r="A64" s="8" t="s">
        <v>26</v>
      </c>
      <c r="B64" s="9">
        <v>450000000</v>
      </c>
      <c r="C64" s="9">
        <f>B64*B$9</f>
        <v>225886.5</v>
      </c>
      <c r="D64" s="24">
        <f t="shared" ref="D64:D65" si="37">INDEX(D$50:D$53,MATCH(MAX(B$50:B$53),B$50:B$53,0))/MAX(B$50:B$53)*B64</f>
        <v>9375000</v>
      </c>
      <c r="E64" s="27">
        <f>D64/B64</f>
        <v>2.0833333333333332E-2</v>
      </c>
      <c r="F64" s="11">
        <f>C64*E64</f>
        <v>4705.96875</v>
      </c>
      <c r="G64" s="12">
        <f>D64*$B$5</f>
        <v>2343750</v>
      </c>
      <c r="H64" s="27">
        <f>G64/D64</f>
        <v>0.25</v>
      </c>
      <c r="I64" s="11">
        <f>F64*H64</f>
        <v>1176.4921875</v>
      </c>
      <c r="J64" s="12">
        <f>D64-G64</f>
        <v>7031250</v>
      </c>
      <c r="K64" s="27">
        <f>J64/D64</f>
        <v>0.75</v>
      </c>
      <c r="L64" s="11">
        <f>F64*K64</f>
        <v>3529.4765625</v>
      </c>
      <c r="M64" s="39">
        <f t="shared" ref="M64:M65" si="38">INDEX(M$64:M$67,MATCH(MAX(B$64:B$67),B$64:B$67,0))/MAX(J$64:J$67)*J64</f>
        <v>1725000</v>
      </c>
      <c r="N64" s="27">
        <f t="shared" ref="N64:N65" si="39">M64/J64</f>
        <v>0.24533333333333332</v>
      </c>
      <c r="O64" s="9">
        <f>IF(D$6&gt;0,(J64-M64),0)</f>
        <v>5306250</v>
      </c>
      <c r="P64" s="27">
        <f>O64/J64</f>
        <v>0.75466666666666671</v>
      </c>
      <c r="Q64" s="9">
        <f xml:space="preserve"> IF((MAX(B$41:B$44)-MAX(D$41:D$44))&gt;$D$7,$D$7,(MAX(B$41:B$44)-MAX(D$41:D$44)))/MAX(B$41:B$44)*B64</f>
        <v>225000000</v>
      </c>
      <c r="R64" s="31">
        <f>Q64/B64</f>
        <v>0.5</v>
      </c>
      <c r="S64" s="13">
        <f>C64*R64</f>
        <v>112943.25</v>
      </c>
      <c r="T64" s="12">
        <f>B64-D64-Q64</f>
        <v>215625000</v>
      </c>
      <c r="U64" s="27">
        <f>T64/B64</f>
        <v>0.47916666666666669</v>
      </c>
      <c r="V64" s="11">
        <f>C64*U64</f>
        <v>108237.28125</v>
      </c>
    </row>
    <row r="65" spans="1:22" x14ac:dyDescent="0.25">
      <c r="A65" s="8" t="s">
        <v>27</v>
      </c>
      <c r="B65" s="9">
        <v>4500000</v>
      </c>
      <c r="C65" s="9">
        <f t="shared" ref="C65:C67" si="40">B65*B$9</f>
        <v>2258.8650000000002</v>
      </c>
      <c r="D65" s="24">
        <f t="shared" si="37"/>
        <v>93750</v>
      </c>
      <c r="E65" s="27">
        <f>D65/B65</f>
        <v>2.0833333333333332E-2</v>
      </c>
      <c r="F65" s="11">
        <f>C65*E65</f>
        <v>47.059687500000003</v>
      </c>
      <c r="G65" s="12">
        <f>D65*$B$5</f>
        <v>23437.5</v>
      </c>
      <c r="H65" s="27">
        <f>G65/D65</f>
        <v>0.25</v>
      </c>
      <c r="I65" s="11">
        <f t="shared" ref="I65:I66" si="41">F65*H65</f>
        <v>11.764921875000001</v>
      </c>
      <c r="J65" s="12">
        <f>D65-G65</f>
        <v>70312.5</v>
      </c>
      <c r="K65" s="27">
        <f>J65/D65</f>
        <v>0.75</v>
      </c>
      <c r="L65" s="11">
        <f t="shared" ref="L65:L67" si="42">F65*K65</f>
        <v>35.294765625000004</v>
      </c>
      <c r="M65" s="39">
        <f t="shared" si="38"/>
        <v>17250</v>
      </c>
      <c r="N65" s="27">
        <f t="shared" si="39"/>
        <v>0.24533333333333332</v>
      </c>
      <c r="O65" s="9">
        <f>IF(D$6&gt;0,(J65-M65),0)</f>
        <v>53062.5</v>
      </c>
      <c r="P65" s="27">
        <f t="shared" ref="P65:P67" si="43">O65/J65</f>
        <v>0.75466666666666671</v>
      </c>
      <c r="Q65" s="9">
        <f xml:space="preserve"> IF((MAX(B$41:B$44)-MAX(D$41:D$44))&gt;$D$7,$D$7,(MAX(B$41:B$44)-MAX(D$41:D$44)))/MAX(B$41:B$44)*B65</f>
        <v>2250000</v>
      </c>
      <c r="R65" s="31">
        <f>Q65/B65</f>
        <v>0.5</v>
      </c>
      <c r="S65" s="13">
        <f>C65*R65</f>
        <v>1129.4325000000001</v>
      </c>
      <c r="T65" s="12">
        <f>B65-D65-Q65</f>
        <v>2156250</v>
      </c>
      <c r="U65" s="27">
        <f>T65/B65</f>
        <v>0.47916666666666669</v>
      </c>
      <c r="V65" s="11">
        <f>C65*U65</f>
        <v>1082.3728125000002</v>
      </c>
    </row>
    <row r="66" spans="1:22" x14ac:dyDescent="0.25">
      <c r="A66" s="8" t="s">
        <v>28</v>
      </c>
      <c r="B66" s="9">
        <v>125000000</v>
      </c>
      <c r="C66" s="9">
        <f t="shared" si="40"/>
        <v>62746.25</v>
      </c>
      <c r="D66" s="24">
        <f>INDEX(D$50:D$53,MATCH(MAX(B$50:B$53),B$50:B$53,0))/MAX(B$50:B$53)*B66</f>
        <v>2604166.6666666665</v>
      </c>
      <c r="E66" s="27">
        <f>D66/B66</f>
        <v>2.0833333333333332E-2</v>
      </c>
      <c r="F66" s="11">
        <f t="shared" ref="F66" si="44">C66*E66</f>
        <v>1307.2135416666665</v>
      </c>
      <c r="G66" s="12">
        <f>D66*$B$5</f>
        <v>651041.66666666663</v>
      </c>
      <c r="H66" s="27">
        <f>G66/D66</f>
        <v>0.25</v>
      </c>
      <c r="I66" s="11">
        <f t="shared" si="41"/>
        <v>326.80338541666663</v>
      </c>
      <c r="J66" s="12">
        <f>D66-G66</f>
        <v>1953125</v>
      </c>
      <c r="K66" s="27">
        <f>J66/D66</f>
        <v>0.75</v>
      </c>
      <c r="L66" s="11">
        <f t="shared" si="42"/>
        <v>980.41015624999989</v>
      </c>
      <c r="M66" s="39">
        <f>INDEX(M$64:M$67,MATCH(MAX(B$64:B$67),B$64:B$67,0))/MAX(J$64:J$67)*J66</f>
        <v>479166.66666666663</v>
      </c>
      <c r="N66" s="27">
        <f>M66/J66</f>
        <v>0.24533333333333332</v>
      </c>
      <c r="O66" s="9">
        <f>IF(D$6&gt;0,(J66-M66),0)</f>
        <v>1473958.3333333335</v>
      </c>
      <c r="P66" s="27">
        <f t="shared" si="43"/>
        <v>0.75466666666666671</v>
      </c>
      <c r="Q66" s="9">
        <f xml:space="preserve"> IF((MAX(B$41:B$44)-MAX(D$41:D$44))&gt;$D$7,$D$7,(MAX(B$41:B$44)-MAX(D$41:D$44)))/MAX(B$41:B$44)*B66</f>
        <v>62500000</v>
      </c>
      <c r="R66" s="31">
        <f>Q66/B66</f>
        <v>0.5</v>
      </c>
      <c r="S66" s="13">
        <f>C66*R66</f>
        <v>31373.125</v>
      </c>
      <c r="T66" s="12">
        <f>B66-D66-Q66</f>
        <v>59895833.333333328</v>
      </c>
      <c r="U66" s="27">
        <f>T66/B66</f>
        <v>0.47916666666666663</v>
      </c>
      <c r="V66" s="11">
        <f>C66*U66</f>
        <v>30065.911458333332</v>
      </c>
    </row>
    <row r="67" spans="1:22" x14ac:dyDescent="0.25">
      <c r="A67" s="18" t="s">
        <v>30</v>
      </c>
      <c r="B67" s="9">
        <v>600000000</v>
      </c>
      <c r="C67" s="9">
        <f t="shared" si="40"/>
        <v>301182</v>
      </c>
      <c r="D67" s="38">
        <v>12500000</v>
      </c>
      <c r="E67" s="27">
        <f>D67/B67</f>
        <v>2.0833333333333332E-2</v>
      </c>
      <c r="F67" s="11">
        <f>C67*E67</f>
        <v>6274.625</v>
      </c>
      <c r="G67" s="12">
        <f>D67*$B$5</f>
        <v>3125000</v>
      </c>
      <c r="H67" s="27">
        <f>G67/D67</f>
        <v>0.25</v>
      </c>
      <c r="I67" s="11">
        <f>F67*H67</f>
        <v>1568.65625</v>
      </c>
      <c r="J67" s="12">
        <f>D67-G67</f>
        <v>9375000</v>
      </c>
      <c r="K67" s="27">
        <f>J67/D67</f>
        <v>0.75</v>
      </c>
      <c r="L67" s="11">
        <f t="shared" si="42"/>
        <v>4705.96875</v>
      </c>
      <c r="M67" s="38">
        <v>2300000</v>
      </c>
      <c r="N67" s="27">
        <f>M67/J67</f>
        <v>0.24533333333333332</v>
      </c>
      <c r="O67" s="9">
        <f>IF(D$6&gt;0,(J67-M67),0)</f>
        <v>7075000</v>
      </c>
      <c r="P67" s="27">
        <f t="shared" si="43"/>
        <v>0.75466666666666671</v>
      </c>
      <c r="Q67" s="9">
        <f xml:space="preserve"> IF((MAX(B$41:B$44)-MAX(D$41:D$44))&gt;$D$7,$D$7,(MAX(B$41:B$44)-MAX(D$41:D$44)))/MAX(B$41:B$44)*B67</f>
        <v>300000000</v>
      </c>
      <c r="R67" s="31">
        <f>Q67/B67</f>
        <v>0.5</v>
      </c>
      <c r="S67" s="13">
        <f>C67*R67</f>
        <v>150591</v>
      </c>
      <c r="T67" s="12">
        <f>B67-D67-Q67</f>
        <v>287500000</v>
      </c>
      <c r="U67" s="27">
        <f>T67/B67</f>
        <v>0.47916666666666669</v>
      </c>
      <c r="V67" s="11">
        <f>C67*U67</f>
        <v>144316.375</v>
      </c>
    </row>
    <row r="68" spans="1:22" x14ac:dyDescent="0.25">
      <c r="A68" s="14" t="s">
        <v>29</v>
      </c>
      <c r="B68" s="15">
        <f>SUM(B64:B67)</f>
        <v>1179500000</v>
      </c>
      <c r="C68" s="15">
        <f>SUM(C64:C67)</f>
        <v>592073.61499999999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27"/>
      <c r="O68" s="8"/>
      <c r="P68" s="27"/>
      <c r="Q68" s="8"/>
      <c r="R68" s="18"/>
      <c r="S68" s="8"/>
      <c r="T68" s="8"/>
      <c r="U68" s="8"/>
      <c r="V68" s="8"/>
    </row>
    <row r="71" spans="1:22" ht="75" x14ac:dyDescent="0.25">
      <c r="A71" s="16" t="s">
        <v>45</v>
      </c>
      <c r="B71" s="5" t="s">
        <v>8</v>
      </c>
      <c r="C71" s="6" t="s">
        <v>9</v>
      </c>
      <c r="D71" s="5" t="s">
        <v>4</v>
      </c>
      <c r="E71" s="5" t="s">
        <v>10</v>
      </c>
      <c r="F71" s="7" t="s">
        <v>11</v>
      </c>
      <c r="G71" s="5" t="s">
        <v>12</v>
      </c>
      <c r="H71" s="5" t="s">
        <v>13</v>
      </c>
      <c r="I71" s="7" t="s">
        <v>14</v>
      </c>
      <c r="J71" s="5" t="s">
        <v>15</v>
      </c>
      <c r="K71" s="5" t="s">
        <v>16</v>
      </c>
      <c r="L71" s="7" t="s">
        <v>17</v>
      </c>
      <c r="M71" s="5" t="s">
        <v>18</v>
      </c>
      <c r="N71" s="5" t="s">
        <v>31</v>
      </c>
      <c r="O71" s="5" t="s">
        <v>19</v>
      </c>
      <c r="P71" s="5" t="s">
        <v>32</v>
      </c>
      <c r="Q71" s="5" t="s">
        <v>20</v>
      </c>
      <c r="R71" s="5" t="s">
        <v>21</v>
      </c>
      <c r="S71" s="7" t="s">
        <v>22</v>
      </c>
      <c r="T71" s="5" t="s">
        <v>23</v>
      </c>
      <c r="U71" s="5" t="s">
        <v>24</v>
      </c>
      <c r="V71" s="7" t="s">
        <v>25</v>
      </c>
    </row>
    <row r="72" spans="1:22" x14ac:dyDescent="0.25">
      <c r="A72" s="8" t="s">
        <v>26</v>
      </c>
      <c r="B72" s="9">
        <v>450000000</v>
      </c>
      <c r="C72" s="9">
        <f>B72*B$9</f>
        <v>225886.5</v>
      </c>
      <c r="D72" s="24">
        <f>INDEX(D$50:D$53,MATCH(MAX(B$50:B$53),B$50:B$53,0))/MAX(B$50:B$53)*B72</f>
        <v>9375000</v>
      </c>
      <c r="E72" s="27">
        <f>D72/B72</f>
        <v>2.0833333333333332E-2</v>
      </c>
      <c r="F72" s="11">
        <f>C72*E72</f>
        <v>4705.96875</v>
      </c>
      <c r="G72" s="12">
        <f>D72*$B$5</f>
        <v>2343750</v>
      </c>
      <c r="H72" s="27">
        <f>G72/D72</f>
        <v>0.25</v>
      </c>
      <c r="I72" s="11">
        <f>F72*H72</f>
        <v>1176.4921875</v>
      </c>
      <c r="J72" s="12">
        <f>D72-G72</f>
        <v>7031250</v>
      </c>
      <c r="K72" s="27">
        <f>J72/D72</f>
        <v>0.75</v>
      </c>
      <c r="L72" s="11">
        <f>F72*K72</f>
        <v>3529.4765625</v>
      </c>
      <c r="M72" s="39">
        <f t="shared" ref="M72:M73" si="45">INDEX(M$72:M$75,MATCH(MAX(B$72:B$75),B$72:B$75,0))/MAX(J$72:J$75)*J72</f>
        <v>1650000</v>
      </c>
      <c r="N72" s="27">
        <f t="shared" ref="N72:N73" si="46">M72/J72</f>
        <v>0.23466666666666666</v>
      </c>
      <c r="O72" s="9">
        <f>IF(D$6&gt;0,(J72-M72),0)</f>
        <v>5381250</v>
      </c>
      <c r="P72" s="27">
        <f>O72/J72</f>
        <v>0.76533333333333331</v>
      </c>
      <c r="Q72" s="24">
        <f>INDEX(Q$72:Q$75,MATCH(MAX(B$72:B$75),B$72:B$75,0))/MAX(B$72:B$75)*B72</f>
        <v>187500000</v>
      </c>
      <c r="R72" s="31">
        <f>Q72/B72</f>
        <v>0.41666666666666669</v>
      </c>
      <c r="S72" s="13">
        <f>C72*R72</f>
        <v>94119.375</v>
      </c>
      <c r="T72" s="12">
        <f>B72-D72-Q72</f>
        <v>253125000</v>
      </c>
      <c r="U72" s="27">
        <f>T72/B72</f>
        <v>0.5625</v>
      </c>
      <c r="V72" s="11">
        <f>C72*U72</f>
        <v>127061.15625</v>
      </c>
    </row>
    <row r="73" spans="1:22" x14ac:dyDescent="0.25">
      <c r="A73" s="8" t="s">
        <v>27</v>
      </c>
      <c r="B73" s="9">
        <v>4500000</v>
      </c>
      <c r="C73" s="9">
        <f>B73*B$9</f>
        <v>2258.8650000000002</v>
      </c>
      <c r="D73" s="24">
        <f>INDEX(D$50:D$53,MATCH(MAX(B$50:B$53),B$50:B$53,0))/MAX(B$50:B$53)*B73</f>
        <v>93750</v>
      </c>
      <c r="E73" s="27">
        <f>D73/B73</f>
        <v>2.0833333333333332E-2</v>
      </c>
      <c r="F73" s="11">
        <f>C73*E73</f>
        <v>47.059687500000003</v>
      </c>
      <c r="G73" s="12">
        <f>D73*$B$5</f>
        <v>23437.5</v>
      </c>
      <c r="H73" s="27">
        <f>G73/D73</f>
        <v>0.25</v>
      </c>
      <c r="I73" s="11">
        <f t="shared" ref="I73:I74" si="47">F73*H73</f>
        <v>11.764921875000001</v>
      </c>
      <c r="J73" s="12">
        <f>D73-G73</f>
        <v>70312.5</v>
      </c>
      <c r="K73" s="27">
        <f>J73/D73</f>
        <v>0.75</v>
      </c>
      <c r="L73" s="11">
        <f t="shared" ref="L73:L75" si="48">F73*K73</f>
        <v>35.294765625000004</v>
      </c>
      <c r="M73" s="39">
        <f t="shared" si="45"/>
        <v>16500</v>
      </c>
      <c r="N73" s="27">
        <f t="shared" si="46"/>
        <v>0.23466666666666666</v>
      </c>
      <c r="O73" s="9">
        <f>IF(D$6&gt;0,(J73-M73),0)</f>
        <v>53812.5</v>
      </c>
      <c r="P73" s="27">
        <f t="shared" ref="P73:P75" si="49">O73/J73</f>
        <v>0.76533333333333331</v>
      </c>
      <c r="Q73" s="24">
        <f>INDEX(Q$72:Q$75,MATCH(MAX(B$72:B$75),B$72:B$75,0))/MAX(B$72:B$75)*B73</f>
        <v>1875000</v>
      </c>
      <c r="R73" s="31">
        <f>Q73/B73</f>
        <v>0.41666666666666669</v>
      </c>
      <c r="S73" s="13">
        <f>C73*R73</f>
        <v>941.19375000000014</v>
      </c>
      <c r="T73" s="12">
        <f>B73-D73-Q73</f>
        <v>2531250</v>
      </c>
      <c r="U73" s="27">
        <f>T73/B73</f>
        <v>0.5625</v>
      </c>
      <c r="V73" s="11">
        <f>C73*U73</f>
        <v>1270.6115625000002</v>
      </c>
    </row>
    <row r="74" spans="1:22" x14ac:dyDescent="0.25">
      <c r="A74" s="8" t="s">
        <v>28</v>
      </c>
      <c r="B74" s="9">
        <v>125000000</v>
      </c>
      <c r="C74" s="9">
        <f t="shared" ref="C73:C75" si="50">B74*B$9</f>
        <v>62746.25</v>
      </c>
      <c r="D74" s="24">
        <f>INDEX(D$50:D$53,MATCH(MAX(B$50:B$53),B$50:B$53,0))/MAX(B$50:B$53)*B74</f>
        <v>2604166.6666666665</v>
      </c>
      <c r="E74" s="27">
        <f>D74/B74</f>
        <v>2.0833333333333332E-2</v>
      </c>
      <c r="F74" s="11">
        <f t="shared" ref="F74" si="51">C74*E74</f>
        <v>1307.2135416666665</v>
      </c>
      <c r="G74" s="12">
        <f>D74*$B$5</f>
        <v>651041.66666666663</v>
      </c>
      <c r="H74" s="27">
        <f>G74/D74</f>
        <v>0.25</v>
      </c>
      <c r="I74" s="11">
        <f t="shared" si="47"/>
        <v>326.80338541666663</v>
      </c>
      <c r="J74" s="12">
        <f>D74-G74</f>
        <v>1953125</v>
      </c>
      <c r="K74" s="27">
        <f>J74/D74</f>
        <v>0.75</v>
      </c>
      <c r="L74" s="11">
        <f t="shared" si="48"/>
        <v>980.41015624999989</v>
      </c>
      <c r="M74" s="39">
        <f>INDEX(M$72:M$75,MATCH(MAX(B$72:B$75),B$72:B$75,0))/MAX(J$72:J$75)*J74</f>
        <v>458333.33333333331</v>
      </c>
      <c r="N74" s="27">
        <f>M74/J74</f>
        <v>0.23466666666666666</v>
      </c>
      <c r="O74" s="9">
        <f>IF(D$6&gt;0,(J74-M74),0)</f>
        <v>1494791.6666666667</v>
      </c>
      <c r="P74" s="27">
        <f t="shared" si="49"/>
        <v>0.76533333333333342</v>
      </c>
      <c r="Q74" s="24">
        <f>INDEX(Q$72:Q$75,MATCH(MAX(B$72:B$75),B$72:B$75,0))/MAX(B$72:B$75)*B74</f>
        <v>52083333.333333336</v>
      </c>
      <c r="R74" s="31">
        <f>Q74/B74</f>
        <v>0.41666666666666669</v>
      </c>
      <c r="S74" s="13">
        <f>C74*R74</f>
        <v>26144.270833333336</v>
      </c>
      <c r="T74" s="12">
        <f>B74-D74-Q74</f>
        <v>70312500</v>
      </c>
      <c r="U74" s="27">
        <f>T74/B74</f>
        <v>0.5625</v>
      </c>
      <c r="V74" s="11">
        <f>C74*U74</f>
        <v>35294.765625</v>
      </c>
    </row>
    <row r="75" spans="1:22" x14ac:dyDescent="0.25">
      <c r="A75" s="18" t="s">
        <v>30</v>
      </c>
      <c r="B75" s="9">
        <v>600000000</v>
      </c>
      <c r="C75" s="9">
        <f t="shared" si="50"/>
        <v>301182</v>
      </c>
      <c r="D75" s="38">
        <v>12500000</v>
      </c>
      <c r="E75" s="27">
        <f>D75/B75</f>
        <v>2.0833333333333332E-2</v>
      </c>
      <c r="F75" s="11">
        <f>C75*E75</f>
        <v>6274.625</v>
      </c>
      <c r="G75" s="12">
        <f>D75*$B$5</f>
        <v>3125000</v>
      </c>
      <c r="H75" s="27">
        <f>G75/D75</f>
        <v>0.25</v>
      </c>
      <c r="I75" s="11">
        <f>F75*H75</f>
        <v>1568.65625</v>
      </c>
      <c r="J75" s="12">
        <f>D75-G75</f>
        <v>9375000</v>
      </c>
      <c r="K75" s="27">
        <f>J75/D75</f>
        <v>0.75</v>
      </c>
      <c r="L75" s="11">
        <f t="shared" si="48"/>
        <v>4705.96875</v>
      </c>
      <c r="M75" s="38">
        <v>2200000</v>
      </c>
      <c r="N75" s="27">
        <f>M75/J75</f>
        <v>0.23466666666666666</v>
      </c>
      <c r="O75" s="9">
        <f>IF(D$6&gt;0,(J75-M75),0)</f>
        <v>7175000</v>
      </c>
      <c r="P75" s="27">
        <f t="shared" si="49"/>
        <v>0.76533333333333331</v>
      </c>
      <c r="Q75" s="38">
        <v>250000000</v>
      </c>
      <c r="R75" s="31">
        <f>Q75/B75</f>
        <v>0.41666666666666669</v>
      </c>
      <c r="S75" s="13">
        <f>C75*R75</f>
        <v>125492.5</v>
      </c>
      <c r="T75" s="12">
        <f>B75-D75-Q75</f>
        <v>337500000</v>
      </c>
      <c r="U75" s="27">
        <f>T75/B75</f>
        <v>0.5625</v>
      </c>
      <c r="V75" s="11">
        <f>C75*U75</f>
        <v>169414.875</v>
      </c>
    </row>
    <row r="76" spans="1:22" x14ac:dyDescent="0.25">
      <c r="A76" s="14" t="s">
        <v>29</v>
      </c>
      <c r="B76" s="15">
        <f>SUM(B72:B75)</f>
        <v>1179500000</v>
      </c>
      <c r="C76" s="15">
        <f>SUM(C72:C75)</f>
        <v>592073.61499999999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27"/>
      <c r="O76" s="8"/>
      <c r="P76" s="27"/>
      <c r="Q76" s="8"/>
      <c r="R76" s="18"/>
      <c r="S76" s="8"/>
      <c r="T76" s="8"/>
      <c r="U76" s="8"/>
      <c r="V76" s="8"/>
    </row>
    <row r="78" spans="1:22" x14ac:dyDescent="0.25">
      <c r="Q78" s="4"/>
    </row>
    <row r="79" spans="1:22" ht="75" x14ac:dyDescent="0.25">
      <c r="A79" s="16" t="s">
        <v>46</v>
      </c>
      <c r="B79" s="5" t="s">
        <v>8</v>
      </c>
      <c r="C79" s="6" t="s">
        <v>9</v>
      </c>
      <c r="D79" s="5" t="s">
        <v>4</v>
      </c>
      <c r="E79" s="5" t="s">
        <v>10</v>
      </c>
      <c r="F79" s="7" t="s">
        <v>11</v>
      </c>
      <c r="G79" s="5" t="s">
        <v>12</v>
      </c>
      <c r="H79" s="5" t="s">
        <v>13</v>
      </c>
      <c r="I79" s="7" t="s">
        <v>14</v>
      </c>
      <c r="J79" s="5" t="s">
        <v>15</v>
      </c>
      <c r="K79" s="5" t="s">
        <v>16</v>
      </c>
      <c r="L79" s="7" t="s">
        <v>17</v>
      </c>
      <c r="M79" s="5" t="s">
        <v>18</v>
      </c>
      <c r="N79" s="5" t="s">
        <v>31</v>
      </c>
      <c r="O79" s="5" t="s">
        <v>19</v>
      </c>
      <c r="P79" s="5" t="s">
        <v>32</v>
      </c>
      <c r="Q79" s="5" t="s">
        <v>20</v>
      </c>
      <c r="R79" s="5" t="s">
        <v>21</v>
      </c>
      <c r="S79" s="7" t="s">
        <v>22</v>
      </c>
      <c r="T79" s="5" t="s">
        <v>23</v>
      </c>
      <c r="U79" s="5" t="s">
        <v>24</v>
      </c>
      <c r="V79" s="7" t="s">
        <v>25</v>
      </c>
    </row>
    <row r="80" spans="1:22" x14ac:dyDescent="0.25">
      <c r="A80" s="8" t="s">
        <v>26</v>
      </c>
      <c r="B80" s="9">
        <v>450000000</v>
      </c>
      <c r="C80" s="9">
        <f>B80*B$9</f>
        <v>225886.5</v>
      </c>
      <c r="D80" s="24">
        <f>INDEX(D$80:D$83,MATCH(MAX(B$80:B$83),B$80:B$83,0))/MAX(B$50:B$53)*B80</f>
        <v>9375000</v>
      </c>
      <c r="E80" s="27">
        <f>D80/B80</f>
        <v>2.0833333333333332E-2</v>
      </c>
      <c r="F80" s="11">
        <f>C80*E80</f>
        <v>4705.96875</v>
      </c>
      <c r="G80" s="12">
        <f t="shared" ref="G80:G81" si="52">INDEX(G$80:G$83,MATCH(MAX(D$80:D$83),D$80:D$83,0))/MAX(D$80:D$83)*D80</f>
        <v>2268750</v>
      </c>
      <c r="H80" s="27">
        <f>G80/D80</f>
        <v>0.24199999999999999</v>
      </c>
      <c r="I80" s="11">
        <f>F80*H80</f>
        <v>1138.8444374999999</v>
      </c>
      <c r="J80" s="12">
        <f>D80-G80</f>
        <v>7106250</v>
      </c>
      <c r="K80" s="27">
        <f>J80/D80</f>
        <v>0.75800000000000001</v>
      </c>
      <c r="L80" s="11">
        <f>F80*K80</f>
        <v>3567.1243125000001</v>
      </c>
      <c r="M80" s="39">
        <f>INDEX(M$80:M$83,MATCH(MAX(B$80:B$83),B$80:B$83,0))/MAX(J$80:J$83)*J80</f>
        <v>1650000</v>
      </c>
      <c r="N80" s="27">
        <f t="shared" ref="N80:N81" si="53">M80/J80</f>
        <v>0.23218997361477572</v>
      </c>
      <c r="O80" s="9">
        <f>IF(D$6&gt;0,(J80-M80),0)</f>
        <v>5456250</v>
      </c>
      <c r="P80" s="27">
        <f>O80/J80</f>
        <v>0.76781002638522422</v>
      </c>
      <c r="Q80" s="24">
        <f>INDEX(Q$72:Q$75,MATCH(MAX(B$72:B$75),B$72:B$75,0))/MAX(B$72:B$75)*B80</f>
        <v>187500000</v>
      </c>
      <c r="R80" s="31">
        <f>Q80/B80</f>
        <v>0.41666666666666669</v>
      </c>
      <c r="S80" s="13">
        <f>C80*R80</f>
        <v>94119.375</v>
      </c>
      <c r="T80" s="12">
        <f>B80-D80-Q80</f>
        <v>253125000</v>
      </c>
      <c r="U80" s="27">
        <f>T80/B80</f>
        <v>0.5625</v>
      </c>
      <c r="V80" s="11">
        <f>C80*U80</f>
        <v>127061.15625</v>
      </c>
    </row>
    <row r="81" spans="1:22" x14ac:dyDescent="0.25">
      <c r="A81" s="8" t="s">
        <v>27</v>
      </c>
      <c r="B81" s="9">
        <v>4500000</v>
      </c>
      <c r="C81" s="9">
        <f t="shared" ref="C81:C83" si="54">B81*B$9</f>
        <v>2258.8650000000002</v>
      </c>
      <c r="D81" s="24">
        <f>INDEX(D$80:D$83,MATCH(MAX(B$80:B$83),B$80:B$83,0))/MAX(B$80:B$83)*B81</f>
        <v>93750</v>
      </c>
      <c r="E81" s="27">
        <f>D81/B81</f>
        <v>2.0833333333333332E-2</v>
      </c>
      <c r="F81" s="11">
        <f>C81*E81</f>
        <v>47.059687500000003</v>
      </c>
      <c r="G81" s="12">
        <f t="shared" si="52"/>
        <v>22687.5</v>
      </c>
      <c r="H81" s="27">
        <f>G81/D81</f>
        <v>0.24199999999999999</v>
      </c>
      <c r="I81" s="11">
        <f t="shared" ref="I81:I82" si="55">F81*H81</f>
        <v>11.388444375000001</v>
      </c>
      <c r="J81" s="12">
        <f>D81-G81</f>
        <v>71062.5</v>
      </c>
      <c r="K81" s="27">
        <f>J81/D81</f>
        <v>0.75800000000000001</v>
      </c>
      <c r="L81" s="11">
        <f t="shared" ref="L81:L83" si="56">F81*K81</f>
        <v>35.671243125000004</v>
      </c>
      <c r="M81" s="39">
        <f t="shared" ref="M81" si="57">INDEX(M$72:M$75,MATCH(MAX(B$72:B$75),B$72:B$75,0))/MAX(J$72:J$75)*J81</f>
        <v>16676</v>
      </c>
      <c r="N81" s="27">
        <f t="shared" si="53"/>
        <v>0.23466666666666666</v>
      </c>
      <c r="O81" s="9">
        <f>IF(D$6&gt;0,(J81-M81),0)</f>
        <v>54386.5</v>
      </c>
      <c r="P81" s="27">
        <f t="shared" ref="P81:P83" si="58">O81/J81</f>
        <v>0.76533333333333331</v>
      </c>
      <c r="Q81" s="24">
        <f>INDEX(Q$72:Q$75,MATCH(MAX(B$72:B$75),B$72:B$75,0))/MAX(B$72:B$75)*B81</f>
        <v>1875000</v>
      </c>
      <c r="R81" s="31">
        <f>Q81/B81</f>
        <v>0.41666666666666669</v>
      </c>
      <c r="S81" s="13">
        <f>C81*R81</f>
        <v>941.19375000000014</v>
      </c>
      <c r="T81" s="12">
        <f>B81-D81-Q81</f>
        <v>2531250</v>
      </c>
      <c r="U81" s="27">
        <f>T81/B81</f>
        <v>0.5625</v>
      </c>
      <c r="V81" s="11">
        <f>C81*U81</f>
        <v>1270.6115625000002</v>
      </c>
    </row>
    <row r="82" spans="1:22" x14ac:dyDescent="0.25">
      <c r="A82" s="8" t="s">
        <v>28</v>
      </c>
      <c r="B82" s="9">
        <v>125000000</v>
      </c>
      <c r="C82" s="9">
        <f t="shared" si="54"/>
        <v>62746.25</v>
      </c>
      <c r="D82" s="24">
        <f>INDEX(D$80:D$83,MATCH(MAX(B$80:B$83),B$80:B$83,0))/MAX(B$80:B$83)*B82</f>
        <v>2604166.6666666665</v>
      </c>
      <c r="E82" s="27">
        <f>D82/B82</f>
        <v>2.0833333333333332E-2</v>
      </c>
      <c r="F82" s="11">
        <f t="shared" ref="F82" si="59">C82*E82</f>
        <v>1307.2135416666665</v>
      </c>
      <c r="G82" s="12">
        <f>INDEX(G$80:G$83,MATCH(MAX(D$80:D$83),D$80:D$83,0))/MAX(D$80:D$83)*D82</f>
        <v>630208.33333333326</v>
      </c>
      <c r="H82" s="27">
        <f>G82/D82</f>
        <v>0.24199999999999999</v>
      </c>
      <c r="I82" s="11">
        <f t="shared" si="55"/>
        <v>316.34567708333327</v>
      </c>
      <c r="J82" s="12">
        <f>D82-G82</f>
        <v>1973958.3333333333</v>
      </c>
      <c r="K82" s="27">
        <f>J82/D82</f>
        <v>0.75800000000000001</v>
      </c>
      <c r="L82" s="11">
        <f t="shared" si="56"/>
        <v>990.86786458333324</v>
      </c>
      <c r="M82" s="39">
        <f>INDEX(M$72:M$75,MATCH(MAX(B$72:B$75),B$72:B$75,0))/MAX(J$72:J$75)*J82</f>
        <v>463222.22222222219</v>
      </c>
      <c r="N82" s="27">
        <f>M82/J82</f>
        <v>0.23466666666666666</v>
      </c>
      <c r="O82" s="9">
        <f>IF(D$6&gt;0,(J82-M82),0)</f>
        <v>1510736.111111111</v>
      </c>
      <c r="P82" s="27">
        <f t="shared" si="58"/>
        <v>0.76533333333333331</v>
      </c>
      <c r="Q82" s="24">
        <f>INDEX(Q$72:Q$75,MATCH(MAX(B$72:B$75),B$72:B$75,0))/MAX(B$72:B$75)*B82</f>
        <v>52083333.333333336</v>
      </c>
      <c r="R82" s="31">
        <f>Q82/B82</f>
        <v>0.41666666666666669</v>
      </c>
      <c r="S82" s="13">
        <f>C82*R82</f>
        <v>26144.270833333336</v>
      </c>
      <c r="T82" s="12">
        <f>B82-D82-Q82</f>
        <v>70312500</v>
      </c>
      <c r="U82" s="27">
        <f>T82/B82</f>
        <v>0.5625</v>
      </c>
      <c r="V82" s="11">
        <f>C82*U82</f>
        <v>35294.765625</v>
      </c>
    </row>
    <row r="83" spans="1:22" x14ac:dyDescent="0.25">
      <c r="A83" s="18" t="s">
        <v>30</v>
      </c>
      <c r="B83" s="9">
        <v>600000000</v>
      </c>
      <c r="C83" s="9">
        <f t="shared" si="54"/>
        <v>301182</v>
      </c>
      <c r="D83" s="38">
        <v>12500000</v>
      </c>
      <c r="E83" s="27">
        <f>D83/B83</f>
        <v>2.0833333333333332E-2</v>
      </c>
      <c r="F83" s="11">
        <f>C83*E83</f>
        <v>6274.625</v>
      </c>
      <c r="G83" s="23">
        <v>3025000</v>
      </c>
      <c r="H83" s="27">
        <f>G83/D83</f>
        <v>0.24199999999999999</v>
      </c>
      <c r="I83" s="11">
        <f>F83*H83</f>
        <v>1518.4592499999999</v>
      </c>
      <c r="J83" s="12">
        <f>D83-G83</f>
        <v>9475000</v>
      </c>
      <c r="K83" s="27">
        <f>J83/D83</f>
        <v>0.75800000000000001</v>
      </c>
      <c r="L83" s="11">
        <f t="shared" si="56"/>
        <v>4756.1657500000001</v>
      </c>
      <c r="M83" s="38">
        <v>2200000</v>
      </c>
      <c r="N83" s="27">
        <f>M83/J83</f>
        <v>0.23218997361477572</v>
      </c>
      <c r="O83" s="9">
        <f>IF(D$6&gt;0,(J83-M83),0)</f>
        <v>7275000</v>
      </c>
      <c r="P83" s="27">
        <f t="shared" si="58"/>
        <v>0.76781002638522422</v>
      </c>
      <c r="Q83" s="38">
        <v>250000000</v>
      </c>
      <c r="R83" s="31">
        <f>Q83/B83</f>
        <v>0.41666666666666669</v>
      </c>
      <c r="S83" s="13">
        <f>C83*R83</f>
        <v>125492.5</v>
      </c>
      <c r="T83" s="12">
        <f>B83-D83-Q83</f>
        <v>337500000</v>
      </c>
      <c r="U83" s="27">
        <f>T83/B83</f>
        <v>0.5625</v>
      </c>
      <c r="V83" s="11">
        <f>C83*U83</f>
        <v>169414.875</v>
      </c>
    </row>
    <row r="84" spans="1:22" x14ac:dyDescent="0.25">
      <c r="A84" s="14" t="s">
        <v>29</v>
      </c>
      <c r="B84" s="15">
        <f>SUM(B80:B83)</f>
        <v>1179500000</v>
      </c>
      <c r="C84" s="15">
        <f>SUM(C80:C83)</f>
        <v>592073.61499999999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27"/>
      <c r="O84" s="8"/>
      <c r="P84" s="27"/>
      <c r="Q84" s="8"/>
      <c r="R84" s="18"/>
      <c r="S84" s="8"/>
      <c r="T84" s="8"/>
      <c r="U84" s="8"/>
      <c r="V84" s="8"/>
    </row>
  </sheetData>
  <mergeCells count="1">
    <mergeCell ref="A24:C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6" sqref="F16"/>
    </sheetView>
  </sheetViews>
  <sheetFormatPr defaultRowHeight="15" x14ac:dyDescent="0.25"/>
  <sheetData>
    <row r="1" spans="1:1" x14ac:dyDescent="0.25">
      <c r="A1" s="38">
        <v>2300000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9"/>
  <sheetViews>
    <sheetView topLeftCell="A35" zoomScale="145" zoomScaleNormal="145" workbookViewId="0">
      <selection activeCell="G37" sqref="G37:I40"/>
    </sheetView>
  </sheetViews>
  <sheetFormatPr defaultRowHeight="15" x14ac:dyDescent="0.25"/>
  <cols>
    <col min="1" max="1" width="24.42578125" bestFit="1" customWidth="1"/>
    <col min="2" max="2" width="14.85546875" bestFit="1" customWidth="1"/>
    <col min="3" max="3" width="11.5703125" bestFit="1" customWidth="1"/>
    <col min="4" max="4" width="17.42578125" bestFit="1" customWidth="1"/>
    <col min="5" max="5" width="17" bestFit="1" customWidth="1"/>
    <col min="6" max="6" width="20.7109375" bestFit="1" customWidth="1"/>
    <col min="7" max="7" width="12.5703125" bestFit="1" customWidth="1"/>
    <col min="8" max="8" width="11.28515625" bestFit="1" customWidth="1"/>
    <col min="9" max="9" width="17" bestFit="1" customWidth="1"/>
    <col min="10" max="10" width="12.5703125" bestFit="1" customWidth="1"/>
    <col min="11" max="11" width="15.28515625" bestFit="1" customWidth="1"/>
    <col min="12" max="13" width="17.28515625" bestFit="1" customWidth="1"/>
    <col min="14" max="14" width="19.28515625" bestFit="1" customWidth="1"/>
    <col min="15" max="15" width="14.28515625" bestFit="1" customWidth="1"/>
    <col min="16" max="16" width="11.140625" bestFit="1" customWidth="1"/>
    <col min="17" max="17" width="12.5703125" bestFit="1" customWidth="1"/>
    <col min="18" max="18" width="14.28515625" bestFit="1" customWidth="1"/>
    <col min="19" max="20" width="12.5703125" bestFit="1" customWidth="1"/>
    <col min="21" max="22" width="11.5703125" bestFit="1" customWidth="1"/>
  </cols>
  <sheetData>
    <row r="2" spans="1:22" x14ac:dyDescent="0.25">
      <c r="A2" t="s">
        <v>0</v>
      </c>
    </row>
    <row r="3" spans="1:22" x14ac:dyDescent="0.25">
      <c r="B3" t="s">
        <v>1</v>
      </c>
      <c r="C3" t="s">
        <v>2</v>
      </c>
      <c r="D3" t="s">
        <v>3</v>
      </c>
      <c r="E3" t="s">
        <v>3</v>
      </c>
    </row>
    <row r="4" spans="1:22" x14ac:dyDescent="0.25">
      <c r="A4" t="s">
        <v>4</v>
      </c>
      <c r="D4" s="1">
        <v>60000000</v>
      </c>
    </row>
    <row r="5" spans="1:22" x14ac:dyDescent="0.25">
      <c r="A5" t="s">
        <v>5</v>
      </c>
      <c r="B5" s="2">
        <v>0</v>
      </c>
      <c r="C5">
        <v>0</v>
      </c>
    </row>
    <row r="6" spans="1:22" x14ac:dyDescent="0.25">
      <c r="A6" t="s">
        <v>6</v>
      </c>
      <c r="D6" s="1">
        <v>20000000</v>
      </c>
    </row>
    <row r="7" spans="1:22" x14ac:dyDescent="0.25">
      <c r="A7" t="s">
        <v>7</v>
      </c>
      <c r="C7" s="3"/>
      <c r="D7" s="1"/>
      <c r="E7" s="1"/>
    </row>
    <row r="9" spans="1:22" x14ac:dyDescent="0.25">
      <c r="A9" s="29" t="s">
        <v>33</v>
      </c>
      <c r="B9" s="30">
        <v>5.0197000000000002E-4</v>
      </c>
      <c r="C9" s="4"/>
    </row>
    <row r="11" spans="1:22" ht="30" x14ac:dyDescent="0.25">
      <c r="A11" s="16" t="s">
        <v>35</v>
      </c>
      <c r="B11" s="5" t="s">
        <v>8</v>
      </c>
      <c r="C11" s="6" t="s">
        <v>9</v>
      </c>
      <c r="D11" s="5" t="s">
        <v>4</v>
      </c>
      <c r="E11" s="5" t="s">
        <v>10</v>
      </c>
      <c r="F11" s="21" t="s">
        <v>11</v>
      </c>
      <c r="G11" s="5" t="s">
        <v>12</v>
      </c>
      <c r="H11" s="5" t="s">
        <v>13</v>
      </c>
      <c r="I11" s="21" t="s">
        <v>14</v>
      </c>
      <c r="J11" s="5" t="s">
        <v>15</v>
      </c>
      <c r="K11" s="5" t="s">
        <v>16</v>
      </c>
      <c r="L11" s="21" t="s">
        <v>17</v>
      </c>
      <c r="M11" s="5" t="s">
        <v>18</v>
      </c>
      <c r="N11" s="6" t="s">
        <v>31</v>
      </c>
      <c r="O11" s="5" t="s">
        <v>19</v>
      </c>
      <c r="P11" s="26" t="s">
        <v>32</v>
      </c>
      <c r="Q11" s="5" t="s">
        <v>20</v>
      </c>
      <c r="R11" s="5" t="s">
        <v>21</v>
      </c>
      <c r="S11" s="21" t="s">
        <v>22</v>
      </c>
      <c r="T11" s="5" t="s">
        <v>23</v>
      </c>
      <c r="U11" s="5" t="s">
        <v>24</v>
      </c>
      <c r="V11" s="21" t="s">
        <v>25</v>
      </c>
    </row>
    <row r="12" spans="1:22" x14ac:dyDescent="0.25">
      <c r="A12" s="8" t="s">
        <v>26</v>
      </c>
      <c r="B12" s="9">
        <v>450000000</v>
      </c>
      <c r="C12" s="9">
        <f>B12*B$9</f>
        <v>225886.5</v>
      </c>
      <c r="D12" s="9">
        <f>IF(B12&gt;$D$4,$D$4,B12)</f>
        <v>60000000</v>
      </c>
      <c r="E12" s="27">
        <f>D12/B12</f>
        <v>0.13333333333333333</v>
      </c>
      <c r="F12" s="22">
        <f>C12*E12</f>
        <v>30118.2</v>
      </c>
      <c r="G12" s="12">
        <f>D12*$B$5</f>
        <v>0</v>
      </c>
      <c r="H12" s="27">
        <f>G12/D12</f>
        <v>0</v>
      </c>
      <c r="I12" s="22">
        <f>F12*H12</f>
        <v>0</v>
      </c>
      <c r="J12" s="12">
        <f>D12-G12</f>
        <v>60000000</v>
      </c>
      <c r="K12" s="27">
        <f>J12/D12</f>
        <v>1</v>
      </c>
      <c r="L12" s="22">
        <f>F12*K12</f>
        <v>30118.2</v>
      </c>
      <c r="M12" s="9">
        <f>IF(J12&gt;$D$6,$D$6,J12)</f>
        <v>20000000</v>
      </c>
      <c r="N12" s="27">
        <f>M12/J12</f>
        <v>0.33333333333333331</v>
      </c>
      <c r="O12" s="9">
        <f>IF(D$6&gt;0,(J12-M12),0)</f>
        <v>40000000</v>
      </c>
      <c r="P12" s="27">
        <f>O12/J12</f>
        <v>0.66666666666666663</v>
      </c>
      <c r="Q12" s="9">
        <f>IF((B12-D12)&gt;$D$7,$D$7,(B12-D12))</f>
        <v>0</v>
      </c>
      <c r="R12" s="27">
        <f>Q12/B12</f>
        <v>0</v>
      </c>
      <c r="S12" s="23">
        <f>C12*R12</f>
        <v>0</v>
      </c>
      <c r="T12" s="12">
        <f>B12-D12-Q12</f>
        <v>390000000</v>
      </c>
      <c r="U12" s="27">
        <f>T12/B12</f>
        <v>0.8666666666666667</v>
      </c>
      <c r="V12" s="22">
        <f>C12*U12</f>
        <v>195768.30000000002</v>
      </c>
    </row>
    <row r="13" spans="1:22" x14ac:dyDescent="0.25">
      <c r="A13" s="14" t="s">
        <v>29</v>
      </c>
      <c r="B13" s="15">
        <f>SUM(B12:B12)</f>
        <v>450000000</v>
      </c>
      <c r="C13" s="15">
        <f>SUM(C12:C12)</f>
        <v>225886.5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10"/>
      <c r="O13" s="8"/>
      <c r="P13" s="8"/>
      <c r="Q13" s="8"/>
      <c r="R13" s="8"/>
      <c r="S13" s="8"/>
      <c r="T13" s="8"/>
      <c r="U13" s="8"/>
      <c r="V13" s="8"/>
    </row>
    <row r="16" spans="1:22" ht="30" x14ac:dyDescent="0.25">
      <c r="A16" s="16" t="s">
        <v>34</v>
      </c>
      <c r="B16" s="5" t="s">
        <v>8</v>
      </c>
      <c r="C16" s="6" t="s">
        <v>9</v>
      </c>
      <c r="D16" s="5" t="s">
        <v>4</v>
      </c>
      <c r="E16" s="5" t="s">
        <v>10</v>
      </c>
      <c r="F16" s="21" t="s">
        <v>11</v>
      </c>
      <c r="G16" s="5" t="s">
        <v>12</v>
      </c>
      <c r="H16" s="5" t="s">
        <v>13</v>
      </c>
      <c r="I16" s="21" t="s">
        <v>14</v>
      </c>
      <c r="J16" s="5" t="s">
        <v>15</v>
      </c>
      <c r="K16" s="5" t="s">
        <v>16</v>
      </c>
      <c r="L16" s="21" t="s">
        <v>17</v>
      </c>
      <c r="M16" s="5" t="s">
        <v>18</v>
      </c>
      <c r="N16" s="6" t="s">
        <v>31</v>
      </c>
      <c r="O16" s="5" t="s">
        <v>19</v>
      </c>
      <c r="P16" s="26" t="s">
        <v>32</v>
      </c>
      <c r="Q16" s="5" t="s">
        <v>20</v>
      </c>
      <c r="R16" s="5" t="s">
        <v>21</v>
      </c>
      <c r="S16" s="21" t="s">
        <v>22</v>
      </c>
      <c r="T16" s="5" t="s">
        <v>23</v>
      </c>
      <c r="U16" s="5" t="s">
        <v>24</v>
      </c>
      <c r="V16" s="21" t="s">
        <v>25</v>
      </c>
    </row>
    <row r="17" spans="1:22" x14ac:dyDescent="0.25">
      <c r="A17" s="8" t="s">
        <v>26</v>
      </c>
      <c r="B17" s="9">
        <v>450000000</v>
      </c>
      <c r="C17" s="9">
        <f>B17*B$9</f>
        <v>225886.5</v>
      </c>
      <c r="D17" s="9">
        <f>IF(B17&gt;$D$4,$D$4,B17)</f>
        <v>60000000</v>
      </c>
      <c r="E17" s="27">
        <f>D17/B17</f>
        <v>0.13333333333333333</v>
      </c>
      <c r="F17" s="22">
        <f>C17*E17</f>
        <v>30118.2</v>
      </c>
      <c r="G17" s="12">
        <f>D17*$B$5</f>
        <v>0</v>
      </c>
      <c r="H17" s="27">
        <f>G17/D17</f>
        <v>0</v>
      </c>
      <c r="I17" s="22">
        <f>F17*H17</f>
        <v>0</v>
      </c>
      <c r="J17" s="12">
        <f>D17-G17</f>
        <v>60000000</v>
      </c>
      <c r="K17" s="27">
        <f>J17/D17</f>
        <v>1</v>
      </c>
      <c r="L17" s="22">
        <f>F17*K17</f>
        <v>30118.2</v>
      </c>
      <c r="M17" s="9">
        <f>IF(J17&gt;$D$6,$D$6,J17)</f>
        <v>20000000</v>
      </c>
      <c r="N17" s="27">
        <f>M17/J17</f>
        <v>0.33333333333333331</v>
      </c>
      <c r="O17" s="9">
        <f>IF(D$6&gt;0,(J17-M17),0)</f>
        <v>40000000</v>
      </c>
      <c r="P17" s="27">
        <f>O17/J17</f>
        <v>0.66666666666666663</v>
      </c>
      <c r="Q17" s="9">
        <f>IF((B17-D17)&gt;$D$7,$D$7,(B17-D17))</f>
        <v>0</v>
      </c>
      <c r="R17" s="27">
        <f>Q17/B17</f>
        <v>0</v>
      </c>
      <c r="S17" s="23">
        <f>C17*R17</f>
        <v>0</v>
      </c>
      <c r="T17" s="12">
        <f>B17-D17-Q17</f>
        <v>390000000</v>
      </c>
      <c r="U17" s="27">
        <f>T17/B17</f>
        <v>0.8666666666666667</v>
      </c>
      <c r="V17" s="22">
        <f>C17*U17</f>
        <v>195768.30000000002</v>
      </c>
    </row>
    <row r="18" spans="1:22" x14ac:dyDescent="0.25">
      <c r="A18" s="8" t="s">
        <v>27</v>
      </c>
      <c r="B18" s="9">
        <v>4500000</v>
      </c>
      <c r="C18" s="9">
        <f t="shared" ref="C18:C19" si="0">B18*B$9</f>
        <v>2258.8650000000002</v>
      </c>
      <c r="D18" s="9">
        <f>IF(B18&gt;$D$4,$D$4,B18)</f>
        <v>4500000</v>
      </c>
      <c r="E18" s="27">
        <f>D18/B18</f>
        <v>1</v>
      </c>
      <c r="F18" s="22">
        <f t="shared" ref="F18:F19" si="1">C18*E18</f>
        <v>2258.8650000000002</v>
      </c>
      <c r="G18" s="12">
        <f>D18*$B$5</f>
        <v>0</v>
      </c>
      <c r="H18" s="27">
        <f>G18/D18</f>
        <v>0</v>
      </c>
      <c r="I18" s="22">
        <f t="shared" ref="I18:I19" si="2">F18*H18</f>
        <v>0</v>
      </c>
      <c r="J18" s="12">
        <f>D18-G18</f>
        <v>4500000</v>
      </c>
      <c r="K18" s="27">
        <f>J18/D18</f>
        <v>1</v>
      </c>
      <c r="L18" s="22">
        <f t="shared" ref="L18:L19" si="3">F18*K18</f>
        <v>2258.8650000000002</v>
      </c>
      <c r="M18" s="9">
        <f>IF(J18&gt;$D$6,$D$6,J18)</f>
        <v>4500000</v>
      </c>
      <c r="N18" s="27">
        <f t="shared" ref="N18:N19" si="4">M18/J18</f>
        <v>1</v>
      </c>
      <c r="O18" s="9">
        <f>IF(D$6&gt;0,(J18-M18),0)</f>
        <v>0</v>
      </c>
      <c r="P18" s="27">
        <f t="shared" ref="P18:P19" si="5">O18/J18</f>
        <v>0</v>
      </c>
      <c r="Q18" s="9">
        <f>IF((B18-D18)&gt;$D$7,$D$7,(B18-D18))</f>
        <v>0</v>
      </c>
      <c r="R18" s="27">
        <f>Q18/B18</f>
        <v>0</v>
      </c>
      <c r="S18" s="23">
        <f>C18*R18</f>
        <v>0</v>
      </c>
      <c r="T18" s="12">
        <f>B18-D18-Q18</f>
        <v>0</v>
      </c>
      <c r="U18" s="27">
        <f>T18/B18</f>
        <v>0</v>
      </c>
      <c r="V18" s="22">
        <f>C18*U18</f>
        <v>0</v>
      </c>
    </row>
    <row r="19" spans="1:22" x14ac:dyDescent="0.25">
      <c r="A19" s="8" t="s">
        <v>28</v>
      </c>
      <c r="B19" s="9">
        <v>125000000</v>
      </c>
      <c r="C19" s="9">
        <f t="shared" si="0"/>
        <v>62746.25</v>
      </c>
      <c r="D19" s="9">
        <f>IF(B19&gt;$D$4,$D$4,B19)</f>
        <v>60000000</v>
      </c>
      <c r="E19" s="27">
        <f>D19/B19</f>
        <v>0.48</v>
      </c>
      <c r="F19" s="22">
        <f t="shared" si="1"/>
        <v>30118.199999999997</v>
      </c>
      <c r="G19" s="12">
        <f>D19*$B$5</f>
        <v>0</v>
      </c>
      <c r="H19" s="27">
        <f>G19/D19</f>
        <v>0</v>
      </c>
      <c r="I19" s="22">
        <f t="shared" si="2"/>
        <v>0</v>
      </c>
      <c r="J19" s="12">
        <f>D19-G19</f>
        <v>60000000</v>
      </c>
      <c r="K19" s="27">
        <f>J19/D19</f>
        <v>1</v>
      </c>
      <c r="L19" s="22">
        <f t="shared" si="3"/>
        <v>30118.199999999997</v>
      </c>
      <c r="M19" s="9">
        <f>IF(J19&gt;$D$6,$D$6,J19)</f>
        <v>20000000</v>
      </c>
      <c r="N19" s="27">
        <f t="shared" si="4"/>
        <v>0.33333333333333331</v>
      </c>
      <c r="O19" s="9">
        <f>IF(D$6&gt;0,(J19-M19),0)</f>
        <v>40000000</v>
      </c>
      <c r="P19" s="27">
        <f t="shared" si="5"/>
        <v>0.66666666666666663</v>
      </c>
      <c r="Q19" s="9">
        <f>IF((B19-D19)&gt;$D$7,$D$7,(B19-D19))</f>
        <v>0</v>
      </c>
      <c r="R19" s="27">
        <f>Q19/B19</f>
        <v>0</v>
      </c>
      <c r="S19" s="23">
        <f>C19*R19</f>
        <v>0</v>
      </c>
      <c r="T19" s="12">
        <f>B19-D19-Q19</f>
        <v>65000000</v>
      </c>
      <c r="U19" s="27">
        <f>T19/B19</f>
        <v>0.52</v>
      </c>
      <c r="V19" s="22">
        <f>C19*U19</f>
        <v>32628.050000000003</v>
      </c>
    </row>
    <row r="20" spans="1:22" x14ac:dyDescent="0.25">
      <c r="A20" s="14" t="s">
        <v>29</v>
      </c>
      <c r="B20" s="15">
        <f>SUM(B17:B19)</f>
        <v>579500000</v>
      </c>
      <c r="C20" s="15">
        <f>SUM(C17:C19)</f>
        <v>290891.61499999999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10"/>
      <c r="O20" s="8"/>
      <c r="P20" s="8"/>
      <c r="Q20" s="8"/>
      <c r="R20" s="8"/>
      <c r="S20" s="8"/>
      <c r="T20" s="8"/>
      <c r="U20" s="8"/>
      <c r="V20" s="8"/>
    </row>
    <row r="22" spans="1:22" x14ac:dyDescent="0.25">
      <c r="A22" s="40" t="s">
        <v>36</v>
      </c>
      <c r="B22" s="41"/>
      <c r="C22" s="42"/>
    </row>
    <row r="24" spans="1:22" ht="75" x14ac:dyDescent="0.25">
      <c r="A24" s="16" t="s">
        <v>37</v>
      </c>
      <c r="B24" s="5" t="s">
        <v>8</v>
      </c>
      <c r="C24" s="6" t="s">
        <v>9</v>
      </c>
      <c r="D24" s="5" t="s">
        <v>4</v>
      </c>
      <c r="E24" s="5" t="s">
        <v>10</v>
      </c>
      <c r="F24" s="7" t="s">
        <v>11</v>
      </c>
      <c r="G24" s="5" t="s">
        <v>12</v>
      </c>
      <c r="H24" s="5" t="s">
        <v>13</v>
      </c>
      <c r="I24" s="7" t="s">
        <v>14</v>
      </c>
      <c r="J24" s="5" t="s">
        <v>15</v>
      </c>
      <c r="K24" s="5" t="s">
        <v>16</v>
      </c>
      <c r="L24" s="7" t="s">
        <v>17</v>
      </c>
      <c r="M24" s="5" t="s">
        <v>18</v>
      </c>
      <c r="N24" s="6" t="s">
        <v>31</v>
      </c>
      <c r="O24" s="5" t="s">
        <v>19</v>
      </c>
      <c r="P24" s="26" t="s">
        <v>32</v>
      </c>
      <c r="Q24" s="5" t="s">
        <v>20</v>
      </c>
      <c r="R24" s="5" t="s">
        <v>21</v>
      </c>
      <c r="S24" s="7" t="s">
        <v>22</v>
      </c>
      <c r="T24" s="5" t="s">
        <v>23</v>
      </c>
      <c r="U24" s="5" t="s">
        <v>24</v>
      </c>
      <c r="V24" s="7" t="s">
        <v>25</v>
      </c>
    </row>
    <row r="25" spans="1:22" x14ac:dyDescent="0.25">
      <c r="A25" s="8" t="s">
        <v>26</v>
      </c>
      <c r="B25" s="9">
        <v>600000000</v>
      </c>
      <c r="C25" s="9">
        <f t="shared" ref="C25" si="6">B25*B$9</f>
        <v>301182</v>
      </c>
      <c r="D25" s="9">
        <f>IF(MAX(B$25)&gt;$D$4,$D$4,MAX(B$25))/MAX(B$25)*B25</f>
        <v>60000000</v>
      </c>
      <c r="E25" s="27">
        <f>D25/B25</f>
        <v>0.1</v>
      </c>
      <c r="F25" s="11">
        <f>C25*E25</f>
        <v>30118.2</v>
      </c>
      <c r="G25" s="12">
        <f>D25*$B$5</f>
        <v>0</v>
      </c>
      <c r="H25" s="27">
        <f>G25/D25</f>
        <v>0</v>
      </c>
      <c r="I25" s="11">
        <f>F25*H25</f>
        <v>0</v>
      </c>
      <c r="J25" s="12">
        <f>D25-G25</f>
        <v>60000000</v>
      </c>
      <c r="K25" s="10">
        <f>J25/D25</f>
        <v>1</v>
      </c>
      <c r="L25" s="11">
        <f>F25*K25</f>
        <v>30118.2</v>
      </c>
      <c r="M25" s="24">
        <f>(IF(MAX(J25:J25)&gt;$D$6,$D$6,MAX(J25:J25)))/MAX(J25:J25)*J25</f>
        <v>20000000</v>
      </c>
      <c r="N25" s="27">
        <f>M25/J25</f>
        <v>0.33333333333333331</v>
      </c>
      <c r="O25" s="25">
        <f>IF(D$6&gt;0,(J25-M25),0)</f>
        <v>40000000</v>
      </c>
      <c r="P25" s="27">
        <f>O25/J25</f>
        <v>0.66666666666666663</v>
      </c>
      <c r="Q25" s="9">
        <f xml:space="preserve"> IF((MAX(B$30:B$32)-MAX(D$30:D$32))&gt;$D$7,$D$7,(MAX(B$30:B$32)-MAX(D$30:D$32)))/MAX(B$30:B$32)*B25</f>
        <v>0</v>
      </c>
      <c r="R25" s="27">
        <f>Q25/B25</f>
        <v>0</v>
      </c>
      <c r="S25" s="13">
        <f>C25*R25</f>
        <v>0</v>
      </c>
      <c r="T25" s="12">
        <f>B25-D25-Q25</f>
        <v>540000000</v>
      </c>
      <c r="U25" s="27">
        <f>T25/B25</f>
        <v>0.9</v>
      </c>
      <c r="V25" s="11">
        <f>C25*U25</f>
        <v>271063.8</v>
      </c>
    </row>
    <row r="26" spans="1:22" x14ac:dyDescent="0.25">
      <c r="A26" s="14" t="s">
        <v>29</v>
      </c>
      <c r="B26" s="17">
        <f>SUM(B25:B25)</f>
        <v>600000000</v>
      </c>
      <c r="C26" s="17">
        <f>SUM(C25:C25)</f>
        <v>301182</v>
      </c>
      <c r="D26" s="9"/>
      <c r="E26" s="10"/>
      <c r="F26" s="11"/>
      <c r="G26" s="12"/>
      <c r="H26" s="10"/>
      <c r="I26" s="11"/>
      <c r="J26" s="12"/>
      <c r="K26" s="10"/>
      <c r="L26" s="11"/>
      <c r="M26" s="9"/>
      <c r="N26" s="10"/>
      <c r="O26" s="8"/>
      <c r="P26" s="8"/>
      <c r="Q26" s="9"/>
      <c r="R26" s="27"/>
      <c r="S26" s="13"/>
      <c r="T26" s="12"/>
      <c r="U26" s="10"/>
      <c r="V26" s="11"/>
    </row>
    <row r="29" spans="1:22" ht="75" x14ac:dyDescent="0.25">
      <c r="A29" s="16" t="s">
        <v>38</v>
      </c>
      <c r="B29" s="5" t="s">
        <v>8</v>
      </c>
      <c r="C29" s="6" t="s">
        <v>9</v>
      </c>
      <c r="D29" s="5" t="s">
        <v>4</v>
      </c>
      <c r="E29" s="5" t="s">
        <v>10</v>
      </c>
      <c r="F29" s="7" t="s">
        <v>11</v>
      </c>
      <c r="G29" s="5" t="s">
        <v>12</v>
      </c>
      <c r="H29" s="5" t="s">
        <v>13</v>
      </c>
      <c r="I29" s="7" t="s">
        <v>14</v>
      </c>
      <c r="J29" s="5" t="s">
        <v>15</v>
      </c>
      <c r="K29" s="5" t="s">
        <v>16</v>
      </c>
      <c r="L29" s="7" t="s">
        <v>17</v>
      </c>
      <c r="M29" s="5" t="s">
        <v>18</v>
      </c>
      <c r="N29" s="6" t="s">
        <v>31</v>
      </c>
      <c r="O29" s="5" t="s">
        <v>19</v>
      </c>
      <c r="P29" s="26" t="s">
        <v>32</v>
      </c>
      <c r="Q29" s="5" t="s">
        <v>20</v>
      </c>
      <c r="R29" s="5" t="s">
        <v>21</v>
      </c>
      <c r="S29" s="7" t="s">
        <v>22</v>
      </c>
      <c r="T29" s="5" t="s">
        <v>23</v>
      </c>
      <c r="U29" s="5" t="s">
        <v>24</v>
      </c>
      <c r="V29" s="7" t="s">
        <v>25</v>
      </c>
    </row>
    <row r="30" spans="1:22" x14ac:dyDescent="0.25">
      <c r="A30" s="8" t="s">
        <v>26</v>
      </c>
      <c r="B30" s="9">
        <v>450000000</v>
      </c>
      <c r="C30" s="9">
        <f t="shared" ref="C30:C32" si="7">B30*B$9</f>
        <v>225886.5</v>
      </c>
      <c r="D30" s="9">
        <f>IF(MAX(B$30:B$32)&gt;$D$4,$D$4,MAX(B$30:B$32))/MAX(B$30:B$32)*B30</f>
        <v>60000000</v>
      </c>
      <c r="E30" s="27">
        <f>D30/B30</f>
        <v>0.13333333333333333</v>
      </c>
      <c r="F30" s="11">
        <f>C30*E30</f>
        <v>30118.2</v>
      </c>
      <c r="G30" s="12">
        <f>D30*$B$5</f>
        <v>0</v>
      </c>
      <c r="H30" s="27">
        <f>G30/D30</f>
        <v>0</v>
      </c>
      <c r="I30" s="11">
        <f>F30*H30</f>
        <v>0</v>
      </c>
      <c r="J30" s="12">
        <f>D30-G30</f>
        <v>60000000</v>
      </c>
      <c r="K30" s="10">
        <f>J30/D30</f>
        <v>1</v>
      </c>
      <c r="L30" s="11">
        <f>F30*K30</f>
        <v>30118.2</v>
      </c>
      <c r="M30" s="24">
        <f>(IF(MAX(J30:J32)&gt;$D$6,$D$6,MAX(J30:J32)))/MAX(J30:J32)*J30</f>
        <v>20000000</v>
      </c>
      <c r="N30" s="27">
        <f>M30/J30</f>
        <v>0.33333333333333331</v>
      </c>
      <c r="O30" s="25">
        <f>IF(D$6&gt;0,(J30-M30),0)</f>
        <v>40000000</v>
      </c>
      <c r="P30" s="27">
        <f>O30/J30</f>
        <v>0.66666666666666663</v>
      </c>
      <c r="Q30" s="9">
        <f xml:space="preserve"> IF((MAX(B$30:B$32)-MAX(D$30:D$32))&gt;$D$7,$D$7,(MAX(B$30:B$32)-MAX(D$30:D$32)))/MAX(B$30:B$32)*B30</f>
        <v>0</v>
      </c>
      <c r="R30" s="27">
        <f>Q30/B30</f>
        <v>0</v>
      </c>
      <c r="S30" s="13">
        <f>C30*R30</f>
        <v>0</v>
      </c>
      <c r="T30" s="12">
        <f>B30-D30-Q30</f>
        <v>390000000</v>
      </c>
      <c r="U30" s="27">
        <f>T30/B30</f>
        <v>0.8666666666666667</v>
      </c>
      <c r="V30" s="11">
        <f>C30*U30</f>
        <v>195768.30000000002</v>
      </c>
    </row>
    <row r="31" spans="1:22" x14ac:dyDescent="0.25">
      <c r="A31" s="8" t="s">
        <v>27</v>
      </c>
      <c r="B31" s="9">
        <v>4500000</v>
      </c>
      <c r="C31" s="9">
        <f t="shared" si="7"/>
        <v>2258.8650000000002</v>
      </c>
      <c r="D31" s="9">
        <f>IF(MAX(B$30:B$32)&gt;$D$4,$D$4,MAX(B$30:B$32))/MAX(B$30:B$32)*B31</f>
        <v>600000</v>
      </c>
      <c r="E31" s="27">
        <f>D31/B31</f>
        <v>0.13333333333333333</v>
      </c>
      <c r="F31" s="11">
        <f t="shared" ref="F31:F32" si="8">C31*E31</f>
        <v>301.18200000000002</v>
      </c>
      <c r="G31" s="12">
        <f>D31*$B$5</f>
        <v>0</v>
      </c>
      <c r="H31" s="27">
        <f>G31/D31</f>
        <v>0</v>
      </c>
      <c r="I31" s="11">
        <f t="shared" ref="I31:I32" si="9">F31*H31</f>
        <v>0</v>
      </c>
      <c r="J31" s="12">
        <f>D31-G31</f>
        <v>600000</v>
      </c>
      <c r="K31" s="10">
        <f>J31/D31</f>
        <v>1</v>
      </c>
      <c r="L31" s="11">
        <f t="shared" ref="L31:L32" si="10">F31*K31</f>
        <v>301.18200000000002</v>
      </c>
      <c r="M31" s="24">
        <f>(IF(MAX(J30:J32)&gt;$D$6,$D$6,MAX(J30:J32)))/MAX(J30:J32)*J31</f>
        <v>200000</v>
      </c>
      <c r="N31" s="27">
        <f t="shared" ref="N31:N32" si="11">M31/J31</f>
        <v>0.33333333333333331</v>
      </c>
      <c r="O31" s="25">
        <f>IF(D$6&gt;0,(J31-M31),0)</f>
        <v>400000</v>
      </c>
      <c r="P31" s="27">
        <f t="shared" ref="P31:P32" si="12">O31/J31</f>
        <v>0.66666666666666663</v>
      </c>
      <c r="Q31" s="9">
        <f xml:space="preserve"> IF((MAX(B$30:B$32)-MAX(D$30:D$32))&gt;$D$7,$D$7,(MAX(B$30:B$32)-MAX(D$30:D$32)))/MAX(B$30:B$32)*B31</f>
        <v>0</v>
      </c>
      <c r="R31" s="27">
        <f>Q31/B31</f>
        <v>0</v>
      </c>
      <c r="S31" s="13">
        <f>C31*R31</f>
        <v>0</v>
      </c>
      <c r="T31" s="12">
        <f>B31-D31-Q31</f>
        <v>3900000</v>
      </c>
      <c r="U31" s="27">
        <f>T31/B31</f>
        <v>0.8666666666666667</v>
      </c>
      <c r="V31" s="11">
        <f>C31*U31</f>
        <v>1957.6830000000002</v>
      </c>
    </row>
    <row r="32" spans="1:22" x14ac:dyDescent="0.25">
      <c r="A32" s="8" t="s">
        <v>28</v>
      </c>
      <c r="B32" s="9">
        <v>225000000</v>
      </c>
      <c r="C32" s="9">
        <f t="shared" si="7"/>
        <v>112943.25</v>
      </c>
      <c r="D32" s="9">
        <f>IF(MAX(B$30:B$32)&gt;$D$4,$D$4,MAX(B$30:B$32))/MAX(B$30:B$32)*B32</f>
        <v>30000000</v>
      </c>
      <c r="E32" s="27">
        <f>D32/B32</f>
        <v>0.13333333333333333</v>
      </c>
      <c r="F32" s="11">
        <f t="shared" si="8"/>
        <v>15059.1</v>
      </c>
      <c r="G32" s="12">
        <f>D32*$B$5</f>
        <v>0</v>
      </c>
      <c r="H32" s="27">
        <f>G32/D32</f>
        <v>0</v>
      </c>
      <c r="I32" s="11">
        <f t="shared" si="9"/>
        <v>0</v>
      </c>
      <c r="J32" s="12">
        <f>D32-G32</f>
        <v>30000000</v>
      </c>
      <c r="K32" s="10">
        <f>J32/D32</f>
        <v>1</v>
      </c>
      <c r="L32" s="11">
        <f t="shared" si="10"/>
        <v>15059.1</v>
      </c>
      <c r="M32" s="24">
        <f>(IF(MAX(J30:J32)&gt;$D$6,$D$6,MAX(J30:J32)))/MAX(J30:J32)*J32</f>
        <v>10000000</v>
      </c>
      <c r="N32" s="27">
        <f t="shared" si="11"/>
        <v>0.33333333333333331</v>
      </c>
      <c r="O32" s="25">
        <f>IF(D$6&gt;0,(J32-M32),0)</f>
        <v>20000000</v>
      </c>
      <c r="P32" s="27">
        <f t="shared" si="12"/>
        <v>0.66666666666666663</v>
      </c>
      <c r="Q32" s="9">
        <f xml:space="preserve"> IF((MAX(B$30:B$32)-MAX(D$30:D$32))&gt;$D$7,$D$7,(MAX(B$30:B$32)-MAX(D$30:D$32)))/MAX(B$30:B$32)*B32</f>
        <v>0</v>
      </c>
      <c r="R32" s="27">
        <f>Q32/B32</f>
        <v>0</v>
      </c>
      <c r="S32" s="13">
        <f>C32*R32</f>
        <v>0</v>
      </c>
      <c r="T32" s="12">
        <f>B32-D32-Q32</f>
        <v>195000000</v>
      </c>
      <c r="U32" s="27">
        <f>T32/B32</f>
        <v>0.8666666666666667</v>
      </c>
      <c r="V32" s="11">
        <f>C32*U32</f>
        <v>97884.150000000009</v>
      </c>
    </row>
    <row r="33" spans="1:22" x14ac:dyDescent="0.25">
      <c r="A33" s="14" t="s">
        <v>29</v>
      </c>
      <c r="B33" s="17">
        <f>SUM(B30:B32)</f>
        <v>679500000</v>
      </c>
      <c r="C33" s="17">
        <f>SUM(C30:C32)</f>
        <v>341088.61499999999</v>
      </c>
      <c r="D33" s="9"/>
      <c r="E33" s="10"/>
      <c r="F33" s="11"/>
      <c r="G33" s="12"/>
      <c r="H33" s="10"/>
      <c r="I33" s="11"/>
      <c r="J33" s="12"/>
      <c r="K33" s="10"/>
      <c r="L33" s="11"/>
      <c r="M33" s="9"/>
      <c r="N33" s="10"/>
      <c r="O33" s="8"/>
      <c r="P33" s="8"/>
      <c r="Q33" s="9"/>
      <c r="R33" s="27"/>
      <c r="S33" s="13"/>
      <c r="T33" s="12"/>
      <c r="U33" s="10"/>
      <c r="V33" s="11"/>
    </row>
    <row r="36" spans="1:22" ht="75" x14ac:dyDescent="0.25">
      <c r="A36" s="16" t="s">
        <v>39</v>
      </c>
      <c r="B36" s="5" t="s">
        <v>8</v>
      </c>
      <c r="C36" s="6" t="s">
        <v>9</v>
      </c>
      <c r="D36" s="5" t="s">
        <v>4</v>
      </c>
      <c r="E36" s="5" t="s">
        <v>10</v>
      </c>
      <c r="F36" s="7" t="s">
        <v>11</v>
      </c>
      <c r="G36" s="5" t="s">
        <v>12</v>
      </c>
      <c r="H36" s="5" t="s">
        <v>13</v>
      </c>
      <c r="I36" s="7" t="s">
        <v>14</v>
      </c>
      <c r="J36" s="5" t="s">
        <v>15</v>
      </c>
      <c r="K36" s="5" t="s">
        <v>16</v>
      </c>
      <c r="L36" s="7" t="s">
        <v>17</v>
      </c>
      <c r="M36" s="5" t="s">
        <v>18</v>
      </c>
      <c r="N36" s="6" t="s">
        <v>31</v>
      </c>
      <c r="O36" s="5" t="s">
        <v>19</v>
      </c>
      <c r="P36" s="26" t="s">
        <v>32</v>
      </c>
      <c r="Q36" s="5" t="s">
        <v>20</v>
      </c>
      <c r="R36" s="5" t="s">
        <v>21</v>
      </c>
      <c r="S36" s="7" t="s">
        <v>22</v>
      </c>
      <c r="T36" s="5" t="s">
        <v>23</v>
      </c>
      <c r="U36" s="5" t="s">
        <v>24</v>
      </c>
      <c r="V36" s="7" t="s">
        <v>25</v>
      </c>
    </row>
    <row r="37" spans="1:22" x14ac:dyDescent="0.25">
      <c r="A37" s="8" t="s">
        <v>26</v>
      </c>
      <c r="B37" s="9">
        <v>450000000</v>
      </c>
      <c r="C37" s="9">
        <f t="shared" ref="C37:C40" si="13">B37*B$9</f>
        <v>225886.5</v>
      </c>
      <c r="D37" s="9">
        <f>IF(MAX(B$37:B$40)&gt;$D$4,$D$4,MAX(B$37:B$40))/MAX(B$37:B$40)*B37</f>
        <v>60000000</v>
      </c>
      <c r="E37" s="27">
        <f>D37/B37</f>
        <v>0.13333333333333333</v>
      </c>
      <c r="F37" s="11">
        <f>C37*E37</f>
        <v>30118.2</v>
      </c>
      <c r="G37" s="12">
        <f>D37*$B$5</f>
        <v>0</v>
      </c>
      <c r="H37" s="27">
        <f>G37/D37</f>
        <v>0</v>
      </c>
      <c r="I37" s="11">
        <f>F37*H37</f>
        <v>0</v>
      </c>
      <c r="J37" s="12">
        <f>D37-G37</f>
        <v>60000000</v>
      </c>
      <c r="K37" s="10">
        <f>J37/D37</f>
        <v>1</v>
      </c>
      <c r="L37" s="11">
        <f>F37*K37</f>
        <v>30118.2</v>
      </c>
      <c r="M37" s="9">
        <f>(IF(MAX(J37:J40)&gt;$D$6,$D$6,J37))/MAX(J37:J40)*J37</f>
        <v>20000000</v>
      </c>
      <c r="N37" s="27">
        <f>M37/J37</f>
        <v>0.33333333333333331</v>
      </c>
      <c r="O37" s="9">
        <f>IF(D$6&gt;0,(J37-M37),0)</f>
        <v>40000000</v>
      </c>
      <c r="P37" s="27">
        <f>O37/J37</f>
        <v>0.66666666666666663</v>
      </c>
      <c r="Q37" s="9">
        <f xml:space="preserve"> IF((MAX(B$37:B$40)-MAX(D$37:D$40))&gt;$D$7,$D$7,(MAX(B$37:B$40)-MAX(D$37:D$40)))/MAX(B$37:B$40)*B37</f>
        <v>0</v>
      </c>
      <c r="R37" s="27">
        <f>Q37/B37</f>
        <v>0</v>
      </c>
      <c r="S37" s="13">
        <f>C37*R37</f>
        <v>0</v>
      </c>
      <c r="T37" s="12">
        <f>B37-D37-Q37</f>
        <v>390000000</v>
      </c>
      <c r="U37" s="27">
        <f>T37/B37</f>
        <v>0.8666666666666667</v>
      </c>
      <c r="V37" s="11">
        <f>C37*U37</f>
        <v>195768.30000000002</v>
      </c>
    </row>
    <row r="38" spans="1:22" x14ac:dyDescent="0.25">
      <c r="A38" s="8" t="s">
        <v>27</v>
      </c>
      <c r="B38" s="9">
        <v>4500000</v>
      </c>
      <c r="C38" s="9">
        <f t="shared" si="13"/>
        <v>2258.8650000000002</v>
      </c>
      <c r="D38" s="9">
        <f>IF(MAX(B$37:B$40)&gt;$D$4,$D$4,MAX(B$37:B$40))/MAX(B$37:B$40)*B38</f>
        <v>600000</v>
      </c>
      <c r="E38" s="27">
        <f>D38/B38</f>
        <v>0.13333333333333333</v>
      </c>
      <c r="F38" s="11">
        <f t="shared" ref="F38:F39" si="14">C38*E38</f>
        <v>301.18200000000002</v>
      </c>
      <c r="G38" s="12">
        <f>D38*$B$5</f>
        <v>0</v>
      </c>
      <c r="H38" s="27">
        <f>G38/D38</f>
        <v>0</v>
      </c>
      <c r="I38" s="11">
        <f t="shared" ref="I38:I39" si="15">F38*H38</f>
        <v>0</v>
      </c>
      <c r="J38" s="12">
        <f>D38-G38</f>
        <v>600000</v>
      </c>
      <c r="K38" s="10">
        <f>J38/D38</f>
        <v>1</v>
      </c>
      <c r="L38" s="11">
        <f t="shared" ref="L38:L40" si="16">F38*K38</f>
        <v>301.18200000000002</v>
      </c>
      <c r="M38" s="9">
        <f>(IF(MAX(J37:J40)&gt;$D$6,$D$6,MAX(J37:J40)))/MAX(J37:J40)*J38</f>
        <v>200000</v>
      </c>
      <c r="N38" s="27">
        <f t="shared" ref="N38:N40" si="17">M38/J38</f>
        <v>0.33333333333333331</v>
      </c>
      <c r="O38" s="9">
        <f>IF(D$6&gt;0,(J38-M38),0)</f>
        <v>400000</v>
      </c>
      <c r="P38" s="27">
        <f t="shared" ref="P38:P40" si="18">O38/J38</f>
        <v>0.66666666666666663</v>
      </c>
      <c r="Q38" s="9">
        <f xml:space="preserve"> IF((MAX(B$37:B$40)-MAX(D$37:D$40))&gt;$D$7,$D$7,(MAX(B$37:B$40)-MAX(D$37:D$40)))/MAX(B$37:B$40)*B38</f>
        <v>0</v>
      </c>
      <c r="R38" s="27">
        <f>Q38/B38</f>
        <v>0</v>
      </c>
      <c r="S38" s="13">
        <f>C38*R38</f>
        <v>0</v>
      </c>
      <c r="T38" s="12">
        <f>B38-D38-Q38</f>
        <v>3900000</v>
      </c>
      <c r="U38" s="27">
        <f>T38/B38</f>
        <v>0.8666666666666667</v>
      </c>
      <c r="V38" s="11">
        <f>C38*U38</f>
        <v>1957.6830000000002</v>
      </c>
    </row>
    <row r="39" spans="1:22" x14ac:dyDescent="0.25">
      <c r="A39" s="8" t="s">
        <v>28</v>
      </c>
      <c r="B39" s="9">
        <v>125000000</v>
      </c>
      <c r="C39" s="9">
        <f t="shared" si="13"/>
        <v>62746.25</v>
      </c>
      <c r="D39" s="9">
        <f>IF(MAX(B$37:B$40)&gt;$D$4,$D$4,MAX(B$37:B$40))/MAX(B$37:B$40)*B39</f>
        <v>16666666.666666666</v>
      </c>
      <c r="E39" s="27">
        <f>D39/B39</f>
        <v>0.13333333333333333</v>
      </c>
      <c r="F39" s="11">
        <f t="shared" si="14"/>
        <v>8366.1666666666661</v>
      </c>
      <c r="G39" s="12">
        <f>D39*$B$5</f>
        <v>0</v>
      </c>
      <c r="H39" s="27">
        <f>G39/D39</f>
        <v>0</v>
      </c>
      <c r="I39" s="11">
        <f t="shared" si="15"/>
        <v>0</v>
      </c>
      <c r="J39" s="12">
        <f>D39-G39</f>
        <v>16666666.666666666</v>
      </c>
      <c r="K39" s="10">
        <f>J39/D39</f>
        <v>1</v>
      </c>
      <c r="L39" s="11">
        <f t="shared" si="16"/>
        <v>8366.1666666666661</v>
      </c>
      <c r="M39" s="9">
        <f>(IF(MAX(J37:J40)&gt;$D$6,$D$6,J37))/MAX(J37:J40)*J39</f>
        <v>5555555.555555555</v>
      </c>
      <c r="N39" s="27">
        <f t="shared" si="17"/>
        <v>0.33333333333333331</v>
      </c>
      <c r="O39" s="9">
        <f>IF(D$6&gt;0,(J39-M39),0)</f>
        <v>11111111.111111112</v>
      </c>
      <c r="P39" s="27">
        <f t="shared" si="18"/>
        <v>0.66666666666666674</v>
      </c>
      <c r="Q39" s="9">
        <f xml:space="preserve"> IF((MAX(B$37:B$40)-MAX(D$37:D$40))&gt;$D$7,$D$7,(MAX(B$37:B$40)-MAX(D$37:D$40)))/MAX(B$37:B$40)*B39</f>
        <v>0</v>
      </c>
      <c r="R39" s="27">
        <f>Q39/B39</f>
        <v>0</v>
      </c>
      <c r="S39" s="13">
        <f>C39*R39</f>
        <v>0</v>
      </c>
      <c r="T39" s="12">
        <f>B39-D39-Q39</f>
        <v>108333333.33333333</v>
      </c>
      <c r="U39" s="27">
        <f>T39/B39</f>
        <v>0.86666666666666659</v>
      </c>
      <c r="V39" s="11">
        <f>C39*U39</f>
        <v>54380.083333333328</v>
      </c>
    </row>
    <row r="40" spans="1:22" x14ac:dyDescent="0.25">
      <c r="A40" s="18" t="s">
        <v>30</v>
      </c>
      <c r="B40" s="9">
        <v>50000000</v>
      </c>
      <c r="C40" s="9">
        <f t="shared" si="13"/>
        <v>25098.5</v>
      </c>
      <c r="D40" s="9">
        <f>IF(MAX(B$37:B$40)&gt;$D$4,$D$4,MAX(B$37:B$40))/MAX(B$37:B$40)*B40</f>
        <v>6666666.666666667</v>
      </c>
      <c r="E40" s="27">
        <f>D40/B40</f>
        <v>0.13333333333333333</v>
      </c>
      <c r="F40" s="11">
        <f>C40*E40</f>
        <v>3346.4666666666667</v>
      </c>
      <c r="G40" s="12">
        <f>D40*$B$5</f>
        <v>0</v>
      </c>
      <c r="H40" s="27">
        <f>G40/D40</f>
        <v>0</v>
      </c>
      <c r="I40" s="11">
        <f>F40*H40</f>
        <v>0</v>
      </c>
      <c r="J40" s="12">
        <f>D40-G40</f>
        <v>6666666.666666667</v>
      </c>
      <c r="K40" s="10">
        <f>J40/D40</f>
        <v>1</v>
      </c>
      <c r="L40" s="11">
        <f t="shared" si="16"/>
        <v>3346.4666666666667</v>
      </c>
      <c r="M40" s="9">
        <f>(IF(MAX(J37:J40)&gt;$D$6,$D$6,J37))/MAX(J37:J40)*J40</f>
        <v>2222222.222222222</v>
      </c>
      <c r="N40" s="27">
        <f t="shared" si="17"/>
        <v>0.33333333333333326</v>
      </c>
      <c r="O40" s="9">
        <f>IF(D$6&gt;0,(J40-M40),0)</f>
        <v>4444444.444444445</v>
      </c>
      <c r="P40" s="27">
        <f t="shared" si="18"/>
        <v>0.66666666666666674</v>
      </c>
      <c r="Q40" s="9">
        <f xml:space="preserve"> IF((MAX(B$37:B$40)-MAX(D$37:D$40))&gt;$D$7,$D$7,(MAX(B$37:B$40)-MAX(D$37:D$40)))/MAX(B$37:B$40)*B40</f>
        <v>0</v>
      </c>
      <c r="R40" s="27">
        <f>Q40/B40</f>
        <v>0</v>
      </c>
      <c r="S40" s="13">
        <f>C40*R40</f>
        <v>0</v>
      </c>
      <c r="T40" s="12">
        <f>B40-D40-Q40</f>
        <v>43333333.333333336</v>
      </c>
      <c r="U40" s="27">
        <f>T40/B40</f>
        <v>0.8666666666666667</v>
      </c>
      <c r="V40" s="11">
        <f>C40*U40</f>
        <v>21752.033333333333</v>
      </c>
    </row>
    <row r="41" spans="1:22" x14ac:dyDescent="0.25">
      <c r="A41" s="14" t="s">
        <v>29</v>
      </c>
      <c r="B41" s="15">
        <f>SUM(B37:B40)</f>
        <v>629500000</v>
      </c>
      <c r="C41" s="15">
        <f>SUM(C37:C40)</f>
        <v>315990.11499999999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5">
      <c r="B42" s="19"/>
    </row>
    <row r="43" spans="1:22" x14ac:dyDescent="0.25">
      <c r="B43" s="4"/>
      <c r="C43" s="4"/>
    </row>
    <row r="44" spans="1:22" ht="75" x14ac:dyDescent="0.25">
      <c r="A44" s="16" t="s">
        <v>39</v>
      </c>
      <c r="B44" s="5" t="s">
        <v>8</v>
      </c>
      <c r="C44" s="6" t="s">
        <v>9</v>
      </c>
      <c r="D44" s="5" t="s">
        <v>4</v>
      </c>
      <c r="E44" s="5" t="s">
        <v>10</v>
      </c>
      <c r="F44" s="7" t="s">
        <v>11</v>
      </c>
      <c r="G44" s="5" t="s">
        <v>12</v>
      </c>
      <c r="H44" s="5" t="s">
        <v>13</v>
      </c>
      <c r="I44" s="7" t="s">
        <v>14</v>
      </c>
      <c r="J44" s="5" t="s">
        <v>15</v>
      </c>
      <c r="K44" s="5" t="s">
        <v>16</v>
      </c>
      <c r="L44" s="7" t="s">
        <v>17</v>
      </c>
      <c r="M44" s="5" t="s">
        <v>18</v>
      </c>
      <c r="N44" s="6" t="s">
        <v>31</v>
      </c>
      <c r="O44" s="5" t="s">
        <v>19</v>
      </c>
      <c r="P44" s="26" t="s">
        <v>32</v>
      </c>
      <c r="Q44" s="5" t="s">
        <v>20</v>
      </c>
      <c r="R44" s="5" t="s">
        <v>21</v>
      </c>
      <c r="S44" s="7" t="s">
        <v>22</v>
      </c>
      <c r="T44" s="5" t="s">
        <v>23</v>
      </c>
      <c r="U44" s="5" t="s">
        <v>24</v>
      </c>
      <c r="V44" s="7" t="s">
        <v>25</v>
      </c>
    </row>
    <row r="45" spans="1:22" x14ac:dyDescent="0.25">
      <c r="A45" s="8" t="s">
        <v>26</v>
      </c>
      <c r="B45" s="9">
        <v>450000000</v>
      </c>
      <c r="C45" s="9">
        <f t="shared" ref="C45:C48" si="19">B45*B$9</f>
        <v>225886.5</v>
      </c>
      <c r="D45" s="9">
        <f>IF(MAX(B$37:B$40)&gt;$D$4,$D$4,MAX(B$37:B$40))/MAX(B$37:B$40)*B45</f>
        <v>60000000</v>
      </c>
      <c r="E45" s="27">
        <f>D45/B45</f>
        <v>0.13333333333333333</v>
      </c>
      <c r="F45" s="11">
        <f>C45*E45</f>
        <v>30118.2</v>
      </c>
      <c r="G45" s="12">
        <f>D45*$B$5</f>
        <v>0</v>
      </c>
      <c r="H45" s="27">
        <f>G45/D45</f>
        <v>0</v>
      </c>
      <c r="I45" s="11">
        <f>F45*H45</f>
        <v>0</v>
      </c>
      <c r="J45" s="12">
        <f>D45-G45</f>
        <v>60000000</v>
      </c>
      <c r="K45" s="10">
        <f>J45/D45</f>
        <v>1</v>
      </c>
      <c r="L45" s="11">
        <f>F45*K45</f>
        <v>30118.2</v>
      </c>
      <c r="M45" s="9">
        <f>(IF(MAX(J45:J48)&gt;$D$6,$D$6,J45))/MAX(J45:J48)*J45</f>
        <v>14400000.000000002</v>
      </c>
      <c r="N45" s="27">
        <f>M45/J45</f>
        <v>0.24000000000000002</v>
      </c>
      <c r="O45" s="9">
        <f>IF(D$6&gt;0,(J45-M45),0)</f>
        <v>45600000</v>
      </c>
      <c r="P45" s="27">
        <f>O45/J45</f>
        <v>0.76</v>
      </c>
      <c r="Q45" s="9">
        <f xml:space="preserve"> IF((MAX(B$37:B$40)-MAX(D$37:D$40))&gt;$D$7,$D$7,(MAX(B$37:B$40)-MAX(D$37:D$40)))/MAX(B$37:B$40)*B45</f>
        <v>0</v>
      </c>
      <c r="R45" s="27">
        <f>Q45/B45</f>
        <v>0</v>
      </c>
      <c r="S45" s="13">
        <f>C45*R45</f>
        <v>0</v>
      </c>
      <c r="T45" s="12">
        <f>B45-D45-Q45</f>
        <v>390000000</v>
      </c>
      <c r="U45" s="27">
        <f>T45/B45</f>
        <v>0.8666666666666667</v>
      </c>
      <c r="V45" s="11">
        <f>C45*U45</f>
        <v>195768.30000000002</v>
      </c>
    </row>
    <row r="46" spans="1:22" x14ac:dyDescent="0.25">
      <c r="A46" s="8" t="s">
        <v>27</v>
      </c>
      <c r="B46" s="9">
        <v>4500000</v>
      </c>
      <c r="C46" s="9">
        <f t="shared" si="19"/>
        <v>2258.8650000000002</v>
      </c>
      <c r="D46" s="9">
        <f>IF(MAX(B$37:B$40)&gt;$D$4,$D$4,MAX(B$37:B$40))/MAX(B$37:B$40)*B46</f>
        <v>600000</v>
      </c>
      <c r="E46" s="27">
        <f>D46/B46</f>
        <v>0.13333333333333333</v>
      </c>
      <c r="F46" s="11">
        <f t="shared" ref="F46:F47" si="20">C46*E46</f>
        <v>301.18200000000002</v>
      </c>
      <c r="G46" s="12">
        <f>D46*$B$5</f>
        <v>0</v>
      </c>
      <c r="H46" s="27">
        <f>G46/D46</f>
        <v>0</v>
      </c>
      <c r="I46" s="11">
        <f t="shared" ref="I46:I47" si="21">F46*H46</f>
        <v>0</v>
      </c>
      <c r="J46" s="12">
        <f>D46-G46</f>
        <v>600000</v>
      </c>
      <c r="K46" s="10">
        <f>J46/D46</f>
        <v>1</v>
      </c>
      <c r="L46" s="11">
        <f t="shared" ref="L46:L48" si="22">F46*K46</f>
        <v>301.18200000000002</v>
      </c>
      <c r="M46" s="9">
        <f>(IF(MAX(J45:J48)&gt;$D$6,$D$6,MAX(J45:J48)))/MAX(J45:J48)*J46</f>
        <v>144000</v>
      </c>
      <c r="N46" s="27">
        <f t="shared" ref="N46:N48" si="23">M46/J46</f>
        <v>0.24</v>
      </c>
      <c r="O46" s="9">
        <f>IF(D$6&gt;0,(J46-M46),0)</f>
        <v>456000</v>
      </c>
      <c r="P46" s="27">
        <f t="shared" ref="P46:P48" si="24">O46/J46</f>
        <v>0.76</v>
      </c>
      <c r="Q46" s="9">
        <f xml:space="preserve"> IF((MAX(B$37:B$40)-MAX(D$37:D$40))&gt;$D$7,$D$7,(MAX(B$37:B$40)-MAX(D$37:D$40)))/MAX(B$37:B$40)*B46</f>
        <v>0</v>
      </c>
      <c r="R46" s="27">
        <f>Q46/B46</f>
        <v>0</v>
      </c>
      <c r="S46" s="13">
        <f>C46*R46</f>
        <v>0</v>
      </c>
      <c r="T46" s="12">
        <f>B46-D46-Q46</f>
        <v>3900000</v>
      </c>
      <c r="U46" s="27">
        <f>T46/B46</f>
        <v>0.8666666666666667</v>
      </c>
      <c r="V46" s="11">
        <f>C46*U46</f>
        <v>1957.6830000000002</v>
      </c>
    </row>
    <row r="47" spans="1:22" x14ac:dyDescent="0.25">
      <c r="A47" s="8" t="s">
        <v>28</v>
      </c>
      <c r="B47" s="9">
        <v>125000000</v>
      </c>
      <c r="C47" s="9">
        <f t="shared" si="19"/>
        <v>62746.25</v>
      </c>
      <c r="D47" s="9">
        <f>IF(MAX(B$37:B$40)&gt;$D$4,$D$4,MAX(B$37:B$40))/MAX(B$37:B$40)*B47</f>
        <v>16666666.666666666</v>
      </c>
      <c r="E47" s="27">
        <f>D47/B47</f>
        <v>0.13333333333333333</v>
      </c>
      <c r="F47" s="11">
        <f t="shared" si="20"/>
        <v>8366.1666666666661</v>
      </c>
      <c r="G47" s="12">
        <f>D47*$B$5</f>
        <v>0</v>
      </c>
      <c r="H47" s="27">
        <f>G47/D47</f>
        <v>0</v>
      </c>
      <c r="I47" s="11">
        <f t="shared" si="21"/>
        <v>0</v>
      </c>
      <c r="J47" s="12">
        <f>D47-G47</f>
        <v>16666666.666666666</v>
      </c>
      <c r="K47" s="10">
        <f>J47/D47</f>
        <v>1</v>
      </c>
      <c r="L47" s="11">
        <f t="shared" si="22"/>
        <v>8366.1666666666661</v>
      </c>
      <c r="M47" s="9">
        <f>(IF(MAX(J45:J48)&gt;$D$6,$D$6,J45))/MAX(J45:J48)*J47</f>
        <v>4000000</v>
      </c>
      <c r="N47" s="27">
        <f t="shared" si="23"/>
        <v>0.24000000000000002</v>
      </c>
      <c r="O47" s="9">
        <f>IF(D$6&gt;0,(J47-M47),0)</f>
        <v>12666666.666666666</v>
      </c>
      <c r="P47" s="27">
        <f t="shared" si="24"/>
        <v>0.76</v>
      </c>
      <c r="Q47" s="9">
        <f xml:space="preserve"> IF((MAX(B$37:B$40)-MAX(D$37:D$40))&gt;$D$7,$D$7,(MAX(B$37:B$40)-MAX(D$37:D$40)))/MAX(B$37:B$40)*B47</f>
        <v>0</v>
      </c>
      <c r="R47" s="27">
        <f>Q47/B47</f>
        <v>0</v>
      </c>
      <c r="S47" s="13">
        <f>C47*R47</f>
        <v>0</v>
      </c>
      <c r="T47" s="12">
        <f>B47-D47-Q47</f>
        <v>108333333.33333333</v>
      </c>
      <c r="U47" s="27">
        <f>T47/B47</f>
        <v>0.86666666666666659</v>
      </c>
      <c r="V47" s="11">
        <f>C47*U47</f>
        <v>54380.083333333328</v>
      </c>
    </row>
    <row r="48" spans="1:22" x14ac:dyDescent="0.25">
      <c r="A48" s="18" t="s">
        <v>30</v>
      </c>
      <c r="B48" s="9">
        <v>625000000</v>
      </c>
      <c r="C48" s="9">
        <f t="shared" si="19"/>
        <v>313731.25</v>
      </c>
      <c r="D48" s="9">
        <f>IF(MAX(B$37:B$40)&gt;$D$4,$D$4,MAX(B$37:B$40))/MAX(B$37:B$40)*B48</f>
        <v>83333333.333333328</v>
      </c>
      <c r="E48" s="27">
        <f>D48/B48</f>
        <v>0.13333333333333333</v>
      </c>
      <c r="F48" s="11">
        <f>C48*E48</f>
        <v>41830.833333333336</v>
      </c>
      <c r="G48" s="12">
        <f>D48*$B$5</f>
        <v>0</v>
      </c>
      <c r="H48" s="27">
        <f>G48/D48</f>
        <v>0</v>
      </c>
      <c r="I48" s="11">
        <f>F48*H48</f>
        <v>0</v>
      </c>
      <c r="J48" s="12">
        <f>D48-G48</f>
        <v>83333333.333333328</v>
      </c>
      <c r="K48" s="10">
        <f>J48/D48</f>
        <v>1</v>
      </c>
      <c r="L48" s="11">
        <f t="shared" si="22"/>
        <v>41830.833333333336</v>
      </c>
      <c r="M48" s="9">
        <f>(IF(MAX(J45:J48)&gt;$D$6,$D$6,J45))/MAX(J45:J48)*J48</f>
        <v>20000000</v>
      </c>
      <c r="N48" s="27">
        <f t="shared" si="23"/>
        <v>0.24000000000000002</v>
      </c>
      <c r="O48" s="9">
        <f>IF(D$6&gt;0,(J48-M48),0)</f>
        <v>63333333.333333328</v>
      </c>
      <c r="P48" s="27">
        <f t="shared" si="24"/>
        <v>0.76</v>
      </c>
      <c r="Q48" s="9">
        <f xml:space="preserve"> IF((MAX(B$37:B$40)-MAX(D$37:D$40))&gt;$D$7,$D$7,(MAX(B$37:B$40)-MAX(D$37:D$40)))/MAX(B$37:B$40)*B48</f>
        <v>0</v>
      </c>
      <c r="R48" s="27">
        <f>Q48/B48</f>
        <v>0</v>
      </c>
      <c r="S48" s="13">
        <f>C48*R48</f>
        <v>0</v>
      </c>
      <c r="T48" s="12">
        <f>B48-D48-Q48</f>
        <v>541666666.66666663</v>
      </c>
      <c r="U48" s="27">
        <f>T48/B48</f>
        <v>0.86666666666666659</v>
      </c>
      <c r="V48" s="11">
        <f>C48*U48</f>
        <v>271900.41666666663</v>
      </c>
    </row>
    <row r="49" spans="1:22" x14ac:dyDescent="0.25">
      <c r="A49" s="14" t="s">
        <v>29</v>
      </c>
      <c r="B49" s="15">
        <f>SUM(B45:B48)</f>
        <v>1204500000</v>
      </c>
      <c r="C49" s="15">
        <f>SUM(C45:C48)</f>
        <v>604622.86499999999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</sheetData>
  <mergeCells count="1">
    <mergeCell ref="A22:C2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9"/>
  <sheetViews>
    <sheetView workbookViewId="0">
      <selection activeCell="F46" sqref="F46"/>
    </sheetView>
  </sheetViews>
  <sheetFormatPr defaultRowHeight="15" x14ac:dyDescent="0.25"/>
  <cols>
    <col min="1" max="1" width="24.42578125" bestFit="1" customWidth="1"/>
    <col min="2" max="2" width="14.28515625" bestFit="1" customWidth="1"/>
    <col min="3" max="3" width="11.5703125" bestFit="1" customWidth="1"/>
    <col min="4" max="4" width="17.42578125" bestFit="1" customWidth="1"/>
    <col min="5" max="5" width="17" bestFit="1" customWidth="1"/>
    <col min="6" max="6" width="20.7109375" bestFit="1" customWidth="1"/>
    <col min="7" max="7" width="12.5703125" bestFit="1" customWidth="1"/>
    <col min="8" max="8" width="11.28515625" bestFit="1" customWidth="1"/>
    <col min="9" max="9" width="17" bestFit="1" customWidth="1"/>
    <col min="10" max="10" width="12.5703125" bestFit="1" customWidth="1"/>
    <col min="11" max="11" width="15.28515625" bestFit="1" customWidth="1"/>
    <col min="12" max="13" width="17.28515625" bestFit="1" customWidth="1"/>
    <col min="14" max="14" width="19.28515625" bestFit="1" customWidth="1"/>
    <col min="15" max="15" width="14.28515625" bestFit="1" customWidth="1"/>
    <col min="16" max="16" width="11.140625" bestFit="1" customWidth="1"/>
    <col min="17" max="17" width="12.5703125" bestFit="1" customWidth="1"/>
    <col min="18" max="18" width="14.28515625" bestFit="1" customWidth="1"/>
    <col min="19" max="20" width="12.5703125" bestFit="1" customWidth="1"/>
    <col min="21" max="22" width="11.5703125" bestFit="1" customWidth="1"/>
  </cols>
  <sheetData>
    <row r="2" spans="1:22" x14ac:dyDescent="0.25">
      <c r="A2" t="s">
        <v>0</v>
      </c>
    </row>
    <row r="3" spans="1:22" x14ac:dyDescent="0.25">
      <c r="B3" t="s">
        <v>1</v>
      </c>
      <c r="C3" t="s">
        <v>2</v>
      </c>
      <c r="D3" t="s">
        <v>3</v>
      </c>
      <c r="E3" t="s">
        <v>3</v>
      </c>
    </row>
    <row r="4" spans="1:22" x14ac:dyDescent="0.25">
      <c r="A4" t="s">
        <v>4</v>
      </c>
      <c r="D4" s="1">
        <v>60000000</v>
      </c>
    </row>
    <row r="5" spans="1:22" x14ac:dyDescent="0.25">
      <c r="A5" t="s">
        <v>5</v>
      </c>
      <c r="B5" s="2">
        <v>0</v>
      </c>
      <c r="C5">
        <v>0</v>
      </c>
    </row>
    <row r="6" spans="1:22" x14ac:dyDescent="0.25">
      <c r="A6" t="s">
        <v>6</v>
      </c>
      <c r="D6" s="1">
        <v>20000000</v>
      </c>
    </row>
    <row r="7" spans="1:22" x14ac:dyDescent="0.25">
      <c r="A7" t="s">
        <v>7</v>
      </c>
      <c r="C7" s="3"/>
      <c r="D7" s="1"/>
      <c r="E7" s="1"/>
    </row>
    <row r="9" spans="1:22" x14ac:dyDescent="0.25">
      <c r="A9" s="29" t="s">
        <v>33</v>
      </c>
      <c r="B9" s="30">
        <v>5.0197000000000002E-4</v>
      </c>
      <c r="C9" s="4"/>
    </row>
    <row r="11" spans="1:22" ht="30" x14ac:dyDescent="0.25">
      <c r="A11" s="16" t="s">
        <v>35</v>
      </c>
      <c r="B11" s="5" t="s">
        <v>8</v>
      </c>
      <c r="C11" s="6" t="s">
        <v>9</v>
      </c>
      <c r="D11" s="5" t="s">
        <v>4</v>
      </c>
      <c r="E11" s="5" t="s">
        <v>10</v>
      </c>
      <c r="F11" s="21" t="s">
        <v>11</v>
      </c>
      <c r="G11" s="5" t="s">
        <v>12</v>
      </c>
      <c r="H11" s="5" t="s">
        <v>13</v>
      </c>
      <c r="I11" s="21" t="s">
        <v>14</v>
      </c>
      <c r="J11" s="5" t="s">
        <v>15</v>
      </c>
      <c r="K11" s="5" t="s">
        <v>16</v>
      </c>
      <c r="L11" s="21" t="s">
        <v>17</v>
      </c>
      <c r="M11" s="5" t="s">
        <v>18</v>
      </c>
      <c r="N11" s="6" t="s">
        <v>31</v>
      </c>
      <c r="O11" s="5" t="s">
        <v>19</v>
      </c>
      <c r="P11" s="26" t="s">
        <v>32</v>
      </c>
      <c r="Q11" s="5" t="s">
        <v>20</v>
      </c>
      <c r="R11" s="5" t="s">
        <v>21</v>
      </c>
      <c r="S11" s="21" t="s">
        <v>22</v>
      </c>
      <c r="T11" s="5" t="s">
        <v>23</v>
      </c>
      <c r="U11" s="5" t="s">
        <v>24</v>
      </c>
      <c r="V11" s="21" t="s">
        <v>25</v>
      </c>
    </row>
    <row r="12" spans="1:22" x14ac:dyDescent="0.25">
      <c r="A12" s="8" t="s">
        <v>26</v>
      </c>
      <c r="B12" s="9">
        <v>450000000</v>
      </c>
      <c r="C12" s="9">
        <f>B12*B$9</f>
        <v>225886.5</v>
      </c>
      <c r="D12" s="9">
        <f>IF(B12&gt;$D$4,$D$4,B12)</f>
        <v>60000000</v>
      </c>
      <c r="E12" s="27">
        <f>D12/B12</f>
        <v>0.13333333333333333</v>
      </c>
      <c r="F12" s="22">
        <f>C12*E12</f>
        <v>30118.2</v>
      </c>
      <c r="G12" s="12">
        <f>D12*$B$5</f>
        <v>0</v>
      </c>
      <c r="H12" s="27">
        <f>G12/D12</f>
        <v>0</v>
      </c>
      <c r="I12" s="22">
        <f>F12*H12</f>
        <v>0</v>
      </c>
      <c r="J12" s="12">
        <f>D12-G12</f>
        <v>60000000</v>
      </c>
      <c r="K12" s="27">
        <f>J12/D12</f>
        <v>1</v>
      </c>
      <c r="L12" s="22">
        <f>F12*K12</f>
        <v>30118.2</v>
      </c>
      <c r="M12" s="9">
        <f>IF(J12&gt;$D$6,$D$6,J12)</f>
        <v>20000000</v>
      </c>
      <c r="N12" s="27">
        <f>M12/J12</f>
        <v>0.33333333333333331</v>
      </c>
      <c r="O12" s="9">
        <f>IF(D$6&gt;0,(J12-M12),0)</f>
        <v>40000000</v>
      </c>
      <c r="P12" s="27">
        <f>O12/J12</f>
        <v>0.66666666666666663</v>
      </c>
      <c r="Q12" s="9">
        <f>IF((B12-D12)&gt;$D$7,$D$7,(B12-D12))</f>
        <v>0</v>
      </c>
      <c r="R12" s="27">
        <f>Q12/B12</f>
        <v>0</v>
      </c>
      <c r="S12" s="23">
        <f>C12*R12</f>
        <v>0</v>
      </c>
      <c r="T12" s="12">
        <f>B12-D12-Q12</f>
        <v>390000000</v>
      </c>
      <c r="U12" s="27">
        <f>T12/B12</f>
        <v>0.8666666666666667</v>
      </c>
      <c r="V12" s="22">
        <f>C12*U12</f>
        <v>195768.30000000002</v>
      </c>
    </row>
    <row r="13" spans="1:22" x14ac:dyDescent="0.25">
      <c r="A13" s="14" t="s">
        <v>29</v>
      </c>
      <c r="B13" s="15">
        <f>SUM(B12:B12)</f>
        <v>450000000</v>
      </c>
      <c r="C13" s="15">
        <f>SUM(C12:C12)</f>
        <v>225886.5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10"/>
      <c r="O13" s="8"/>
      <c r="P13" s="8"/>
      <c r="Q13" s="8"/>
      <c r="R13" s="8"/>
      <c r="S13" s="8"/>
      <c r="T13" s="8"/>
      <c r="U13" s="8"/>
      <c r="V13" s="8"/>
    </row>
    <row r="16" spans="1:22" ht="30" x14ac:dyDescent="0.25">
      <c r="A16" s="16" t="s">
        <v>34</v>
      </c>
      <c r="B16" s="5" t="s">
        <v>8</v>
      </c>
      <c r="C16" s="6" t="s">
        <v>9</v>
      </c>
      <c r="D16" s="5" t="s">
        <v>4</v>
      </c>
      <c r="E16" s="5" t="s">
        <v>10</v>
      </c>
      <c r="F16" s="21" t="s">
        <v>11</v>
      </c>
      <c r="G16" s="5" t="s">
        <v>12</v>
      </c>
      <c r="H16" s="5" t="s">
        <v>13</v>
      </c>
      <c r="I16" s="21" t="s">
        <v>14</v>
      </c>
      <c r="J16" s="5" t="s">
        <v>15</v>
      </c>
      <c r="K16" s="5" t="s">
        <v>16</v>
      </c>
      <c r="L16" s="21" t="s">
        <v>17</v>
      </c>
      <c r="M16" s="5" t="s">
        <v>18</v>
      </c>
      <c r="N16" s="6" t="s">
        <v>31</v>
      </c>
      <c r="O16" s="5" t="s">
        <v>19</v>
      </c>
      <c r="P16" s="26" t="s">
        <v>32</v>
      </c>
      <c r="Q16" s="5" t="s">
        <v>20</v>
      </c>
      <c r="R16" s="5" t="s">
        <v>21</v>
      </c>
      <c r="S16" s="21" t="s">
        <v>22</v>
      </c>
      <c r="T16" s="5" t="s">
        <v>23</v>
      </c>
      <c r="U16" s="5" t="s">
        <v>24</v>
      </c>
      <c r="V16" s="21" t="s">
        <v>25</v>
      </c>
    </row>
    <row r="17" spans="1:22" x14ac:dyDescent="0.25">
      <c r="A17" s="8" t="s">
        <v>26</v>
      </c>
      <c r="B17" s="9">
        <v>450000000</v>
      </c>
      <c r="C17" s="9">
        <f>B17*B$9</f>
        <v>225886.5</v>
      </c>
      <c r="D17" s="9">
        <f>IF(B17&gt;$D$4,$D$4,B17)</f>
        <v>60000000</v>
      </c>
      <c r="E17" s="27">
        <f>D17/B17</f>
        <v>0.13333333333333333</v>
      </c>
      <c r="F17" s="22">
        <f>C17*E17</f>
        <v>30118.2</v>
      </c>
      <c r="G17" s="12">
        <f>D17*$B$5</f>
        <v>0</v>
      </c>
      <c r="H17" s="27">
        <f>G17/D17</f>
        <v>0</v>
      </c>
      <c r="I17" s="22">
        <f>F17*H17</f>
        <v>0</v>
      </c>
      <c r="J17" s="12">
        <f>D17-G17</f>
        <v>60000000</v>
      </c>
      <c r="K17" s="27">
        <f>J17/D17</f>
        <v>1</v>
      </c>
      <c r="L17" s="22">
        <f>F17*K17</f>
        <v>30118.2</v>
      </c>
      <c r="M17" s="9">
        <f>IF(J17&gt;$D$6,$D$6,J17)</f>
        <v>20000000</v>
      </c>
      <c r="N17" s="27">
        <f>M17/J17</f>
        <v>0.33333333333333331</v>
      </c>
      <c r="O17" s="9">
        <f>IF(D$6&gt;0,(J17-M17),0)</f>
        <v>40000000</v>
      </c>
      <c r="P17" s="27">
        <f>O17/J17</f>
        <v>0.66666666666666663</v>
      </c>
      <c r="Q17" s="9">
        <f>IF((B17-D17)&gt;$D$7,$D$7,(B17-D17))</f>
        <v>0</v>
      </c>
      <c r="R17" s="27">
        <f>Q17/B17</f>
        <v>0</v>
      </c>
      <c r="S17" s="23">
        <f>C17*R17</f>
        <v>0</v>
      </c>
      <c r="T17" s="12">
        <f>B17-D17-Q17</f>
        <v>390000000</v>
      </c>
      <c r="U17" s="27">
        <f>T17/B17</f>
        <v>0.8666666666666667</v>
      </c>
      <c r="V17" s="22">
        <f>C17*U17</f>
        <v>195768.30000000002</v>
      </c>
    </row>
    <row r="18" spans="1:22" x14ac:dyDescent="0.25">
      <c r="A18" s="8" t="s">
        <v>27</v>
      </c>
      <c r="B18" s="9">
        <v>4500000</v>
      </c>
      <c r="C18" s="9">
        <f t="shared" ref="C18:C19" si="0">B18*B$9</f>
        <v>2258.8650000000002</v>
      </c>
      <c r="D18" s="9">
        <f>IF(B18&gt;$D$4,$D$4,B18)</f>
        <v>4500000</v>
      </c>
      <c r="E18" s="27">
        <f>D18/B18</f>
        <v>1</v>
      </c>
      <c r="F18" s="22">
        <f t="shared" ref="F18:F19" si="1">C18*E18</f>
        <v>2258.8650000000002</v>
      </c>
      <c r="G18" s="12">
        <f>D18*$B$5</f>
        <v>0</v>
      </c>
      <c r="H18" s="27">
        <f>G18/D18</f>
        <v>0</v>
      </c>
      <c r="I18" s="22">
        <f t="shared" ref="I18:I19" si="2">F18*H18</f>
        <v>0</v>
      </c>
      <c r="J18" s="12">
        <f>D18-G18</f>
        <v>4500000</v>
      </c>
      <c r="K18" s="27">
        <f>J18/D18</f>
        <v>1</v>
      </c>
      <c r="L18" s="22">
        <f t="shared" ref="L18:L19" si="3">F18*K18</f>
        <v>2258.8650000000002</v>
      </c>
      <c r="M18" s="9">
        <f>IF(J18&gt;$D$6,$D$6,J18)</f>
        <v>4500000</v>
      </c>
      <c r="N18" s="27">
        <f t="shared" ref="N18:N19" si="4">M18/J18</f>
        <v>1</v>
      </c>
      <c r="O18" s="9">
        <f>IF(D$6&gt;0,(J18-M18),0)</f>
        <v>0</v>
      </c>
      <c r="P18" s="27">
        <f t="shared" ref="P18:P19" si="5">O18/J18</f>
        <v>0</v>
      </c>
      <c r="Q18" s="9">
        <f>IF((B18-D18)&gt;$D$7,$D$7,(B18-D18))</f>
        <v>0</v>
      </c>
      <c r="R18" s="27">
        <f>Q18/B18</f>
        <v>0</v>
      </c>
      <c r="S18" s="23">
        <f>C18*R18</f>
        <v>0</v>
      </c>
      <c r="T18" s="12">
        <f>B18-D18-Q18</f>
        <v>0</v>
      </c>
      <c r="U18" s="27">
        <f>T18/B18</f>
        <v>0</v>
      </c>
      <c r="V18" s="22">
        <f>C18*U18</f>
        <v>0</v>
      </c>
    </row>
    <row r="19" spans="1:22" x14ac:dyDescent="0.25">
      <c r="A19" s="8" t="s">
        <v>28</v>
      </c>
      <c r="B19" s="9">
        <v>125000000</v>
      </c>
      <c r="C19" s="9">
        <f t="shared" si="0"/>
        <v>62746.25</v>
      </c>
      <c r="D19" s="9">
        <f>IF(B19&gt;$D$4,$D$4,B19)</f>
        <v>60000000</v>
      </c>
      <c r="E19" s="27">
        <f>D19/B19</f>
        <v>0.48</v>
      </c>
      <c r="F19" s="22">
        <f t="shared" si="1"/>
        <v>30118.199999999997</v>
      </c>
      <c r="G19" s="12">
        <f>D19*$B$5</f>
        <v>0</v>
      </c>
      <c r="H19" s="27">
        <f>G19/D19</f>
        <v>0</v>
      </c>
      <c r="I19" s="22">
        <f t="shared" si="2"/>
        <v>0</v>
      </c>
      <c r="J19" s="12">
        <f>D19-G19</f>
        <v>60000000</v>
      </c>
      <c r="K19" s="27">
        <f>J19/D19</f>
        <v>1</v>
      </c>
      <c r="L19" s="22">
        <f t="shared" si="3"/>
        <v>30118.199999999997</v>
      </c>
      <c r="M19" s="9">
        <f>IF(J19&gt;$D$6,$D$6,J19)</f>
        <v>20000000</v>
      </c>
      <c r="N19" s="27">
        <f t="shared" si="4"/>
        <v>0.33333333333333331</v>
      </c>
      <c r="O19" s="9">
        <f>IF(D$6&gt;0,(J19-M19),0)</f>
        <v>40000000</v>
      </c>
      <c r="P19" s="27">
        <f t="shared" si="5"/>
        <v>0.66666666666666663</v>
      </c>
      <c r="Q19" s="9">
        <f>IF((B19-D19)&gt;$D$7,$D$7,(B19-D19))</f>
        <v>0</v>
      </c>
      <c r="R19" s="27">
        <f>Q19/B19</f>
        <v>0</v>
      </c>
      <c r="S19" s="23">
        <f>C19*R19</f>
        <v>0</v>
      </c>
      <c r="T19" s="12">
        <f>B19-D19-Q19</f>
        <v>65000000</v>
      </c>
      <c r="U19" s="27">
        <f>T19/B19</f>
        <v>0.52</v>
      </c>
      <c r="V19" s="22">
        <f>C19*U19</f>
        <v>32628.050000000003</v>
      </c>
    </row>
    <row r="20" spans="1:22" x14ac:dyDescent="0.25">
      <c r="A20" s="14" t="s">
        <v>29</v>
      </c>
      <c r="B20" s="15">
        <f>SUM(B17:B19)</f>
        <v>579500000</v>
      </c>
      <c r="C20" s="15">
        <f>SUM(C17:C19)</f>
        <v>290891.61499999999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10"/>
      <c r="O20" s="8"/>
      <c r="P20" s="8"/>
      <c r="Q20" s="8"/>
      <c r="R20" s="8"/>
      <c r="S20" s="8"/>
      <c r="T20" s="8"/>
      <c r="U20" s="8"/>
      <c r="V20" s="8"/>
    </row>
    <row r="22" spans="1:22" x14ac:dyDescent="0.25">
      <c r="A22" s="40" t="s">
        <v>36</v>
      </c>
      <c r="B22" s="41"/>
      <c r="C22" s="42"/>
    </row>
    <row r="24" spans="1:22" ht="75" x14ac:dyDescent="0.25">
      <c r="A24" s="16" t="s">
        <v>37</v>
      </c>
      <c r="B24" s="5" t="s">
        <v>8</v>
      </c>
      <c r="C24" s="6" t="s">
        <v>9</v>
      </c>
      <c r="D24" s="5" t="s">
        <v>4</v>
      </c>
      <c r="E24" s="5" t="s">
        <v>10</v>
      </c>
      <c r="F24" s="7" t="s">
        <v>11</v>
      </c>
      <c r="G24" s="5" t="s">
        <v>12</v>
      </c>
      <c r="H24" s="5" t="s">
        <v>13</v>
      </c>
      <c r="I24" s="7" t="s">
        <v>14</v>
      </c>
      <c r="J24" s="5" t="s">
        <v>15</v>
      </c>
      <c r="K24" s="5" t="s">
        <v>16</v>
      </c>
      <c r="L24" s="7" t="s">
        <v>17</v>
      </c>
      <c r="M24" s="5" t="s">
        <v>18</v>
      </c>
      <c r="N24" s="6" t="s">
        <v>31</v>
      </c>
      <c r="O24" s="5" t="s">
        <v>19</v>
      </c>
      <c r="P24" s="26" t="s">
        <v>32</v>
      </c>
      <c r="Q24" s="5" t="s">
        <v>20</v>
      </c>
      <c r="R24" s="5" t="s">
        <v>21</v>
      </c>
      <c r="S24" s="7" t="s">
        <v>22</v>
      </c>
      <c r="T24" s="5" t="s">
        <v>23</v>
      </c>
      <c r="U24" s="5" t="s">
        <v>24</v>
      </c>
      <c r="V24" s="7" t="s">
        <v>25</v>
      </c>
    </row>
    <row r="25" spans="1:22" x14ac:dyDescent="0.25">
      <c r="A25" s="8" t="s">
        <v>26</v>
      </c>
      <c r="B25" s="9">
        <v>450000000</v>
      </c>
      <c r="C25" s="9">
        <f t="shared" ref="C25" si="6">B25*B$9</f>
        <v>225886.5</v>
      </c>
      <c r="D25" s="9">
        <f>IF(MAX(B$30:B$32)&gt;$D$4,$D$4,MAX(B$30:B$32))/MAX(B$30:B$32)*B25</f>
        <v>60000000</v>
      </c>
      <c r="E25" s="27">
        <f>D25/B25</f>
        <v>0.13333333333333333</v>
      </c>
      <c r="F25" s="11">
        <f>C25*E25</f>
        <v>30118.2</v>
      </c>
      <c r="G25" s="12">
        <f>D25*$B$5</f>
        <v>0</v>
      </c>
      <c r="H25" s="27">
        <f>G25/D25</f>
        <v>0</v>
      </c>
      <c r="I25" s="11">
        <f>F25*H25</f>
        <v>0</v>
      </c>
      <c r="J25" s="12">
        <f>D25-G25</f>
        <v>60000000</v>
      </c>
      <c r="K25" s="10">
        <f>J25/D25</f>
        <v>1</v>
      </c>
      <c r="L25" s="11">
        <f>F25*K25</f>
        <v>30118.2</v>
      </c>
      <c r="M25" s="24">
        <f>(IF(MAX(J25:J25)&gt;$D$6,$D$6,MAX(J25:J25)))/MAX(J25:J25)*J25</f>
        <v>20000000</v>
      </c>
      <c r="N25" s="27">
        <f>M25/J25</f>
        <v>0.33333333333333331</v>
      </c>
      <c r="O25" s="25">
        <f>IF(D$6&gt;0,(J25-M25),0)</f>
        <v>40000000</v>
      </c>
      <c r="P25" s="27">
        <f>O25/J25</f>
        <v>0.66666666666666663</v>
      </c>
      <c r="Q25" s="9">
        <f xml:space="preserve"> IF((MAX(B$30:B$32)-MAX(D$30:D$32))&gt;$D$7,$D$7,(MAX(B$30:B$32)-MAX(D$30:D$32)))/MAX(B$30:B$32)*B25</f>
        <v>0</v>
      </c>
      <c r="R25" s="27">
        <f>Q25/B25</f>
        <v>0</v>
      </c>
      <c r="S25" s="13">
        <f>C25*R25</f>
        <v>0</v>
      </c>
      <c r="T25" s="12">
        <f>B25-D25-Q25</f>
        <v>390000000</v>
      </c>
      <c r="U25" s="27">
        <f>T25/B25</f>
        <v>0.8666666666666667</v>
      </c>
      <c r="V25" s="11">
        <f>C25*U25</f>
        <v>195768.30000000002</v>
      </c>
    </row>
    <row r="26" spans="1:22" x14ac:dyDescent="0.25">
      <c r="A26" s="14" t="s">
        <v>29</v>
      </c>
      <c r="B26" s="17">
        <f>SUM(B25:B25)</f>
        <v>450000000</v>
      </c>
      <c r="C26" s="17">
        <f>SUM(C25:C25)</f>
        <v>225886.5</v>
      </c>
      <c r="D26" s="9"/>
      <c r="E26" s="10"/>
      <c r="F26" s="11"/>
      <c r="G26" s="12"/>
      <c r="H26" s="10"/>
      <c r="I26" s="11"/>
      <c r="J26" s="12"/>
      <c r="K26" s="10"/>
      <c r="L26" s="11"/>
      <c r="M26" s="9"/>
      <c r="N26" s="10"/>
      <c r="O26" s="8"/>
      <c r="P26" s="8"/>
      <c r="Q26" s="9"/>
      <c r="R26" s="27"/>
      <c r="S26" s="13"/>
      <c r="T26" s="12"/>
      <c r="U26" s="10"/>
      <c r="V26" s="11"/>
    </row>
    <row r="29" spans="1:22" ht="75" x14ac:dyDescent="0.25">
      <c r="A29" s="16" t="s">
        <v>38</v>
      </c>
      <c r="B29" s="5" t="s">
        <v>8</v>
      </c>
      <c r="C29" s="6" t="s">
        <v>9</v>
      </c>
      <c r="D29" s="5" t="s">
        <v>4</v>
      </c>
      <c r="E29" s="5" t="s">
        <v>10</v>
      </c>
      <c r="F29" s="7" t="s">
        <v>11</v>
      </c>
      <c r="G29" s="5" t="s">
        <v>12</v>
      </c>
      <c r="H29" s="5" t="s">
        <v>13</v>
      </c>
      <c r="I29" s="7" t="s">
        <v>14</v>
      </c>
      <c r="J29" s="5" t="s">
        <v>15</v>
      </c>
      <c r="K29" s="5" t="s">
        <v>16</v>
      </c>
      <c r="L29" s="7" t="s">
        <v>17</v>
      </c>
      <c r="M29" s="5" t="s">
        <v>18</v>
      </c>
      <c r="N29" s="6" t="s">
        <v>31</v>
      </c>
      <c r="O29" s="5" t="s">
        <v>19</v>
      </c>
      <c r="P29" s="26" t="s">
        <v>32</v>
      </c>
      <c r="Q29" s="5" t="s">
        <v>20</v>
      </c>
      <c r="R29" s="5" t="s">
        <v>21</v>
      </c>
      <c r="S29" s="7" t="s">
        <v>22</v>
      </c>
      <c r="T29" s="5" t="s">
        <v>23</v>
      </c>
      <c r="U29" s="5" t="s">
        <v>24</v>
      </c>
      <c r="V29" s="7" t="s">
        <v>25</v>
      </c>
    </row>
    <row r="30" spans="1:22" x14ac:dyDescent="0.25">
      <c r="A30" s="8" t="s">
        <v>26</v>
      </c>
      <c r="B30" s="9">
        <v>450000000</v>
      </c>
      <c r="C30" s="9">
        <f t="shared" ref="C30:C32" si="7">B30*B$9</f>
        <v>225886.5</v>
      </c>
      <c r="D30" s="9">
        <f>IF(MAX(B$30:B$32)&gt;$D$4,$D$4,MAX(B$30:B$32))/MAX(B$30:B$32)*B30</f>
        <v>60000000</v>
      </c>
      <c r="E30" s="27">
        <f>D30/B30</f>
        <v>0.13333333333333333</v>
      </c>
      <c r="F30" s="11">
        <f>C30*E30</f>
        <v>30118.2</v>
      </c>
      <c r="G30" s="12">
        <f>D30*$B$5</f>
        <v>0</v>
      </c>
      <c r="H30" s="27">
        <f>G30/D30</f>
        <v>0</v>
      </c>
      <c r="I30" s="11">
        <f>F30*H30</f>
        <v>0</v>
      </c>
      <c r="J30" s="12">
        <f>D30-G30</f>
        <v>60000000</v>
      </c>
      <c r="K30" s="10">
        <f>J30/D30</f>
        <v>1</v>
      </c>
      <c r="L30" s="11">
        <f>F30*K30</f>
        <v>30118.2</v>
      </c>
      <c r="M30" s="24">
        <f>(IF(MAX(J30:J32)&gt;$D$6,$D$6,MAX(J30:J32)))/MAX(J30:J32)*J30</f>
        <v>20000000</v>
      </c>
      <c r="N30" s="27">
        <f>M30/J30</f>
        <v>0.33333333333333331</v>
      </c>
      <c r="O30" s="25">
        <f>IF(D$6&gt;0,(J30-M30),0)</f>
        <v>40000000</v>
      </c>
      <c r="P30" s="27">
        <f>O30/J30</f>
        <v>0.66666666666666663</v>
      </c>
      <c r="Q30" s="9">
        <f xml:space="preserve"> IF((MAX(B$30:B$32)-MAX(D$30:D$32))&gt;$D$7,$D$7,(MAX(B$30:B$32)-MAX(D$30:D$32)))/MAX(B$30:B$32)*B30</f>
        <v>0</v>
      </c>
      <c r="R30" s="27">
        <f>Q30/B30</f>
        <v>0</v>
      </c>
      <c r="S30" s="13">
        <f>C30*R30</f>
        <v>0</v>
      </c>
      <c r="T30" s="12">
        <f>B30-D30-Q30</f>
        <v>390000000</v>
      </c>
      <c r="U30" s="27">
        <f>T30/B30</f>
        <v>0.8666666666666667</v>
      </c>
      <c r="V30" s="11">
        <f>C30*U30</f>
        <v>195768.30000000002</v>
      </c>
    </row>
    <row r="31" spans="1:22" x14ac:dyDescent="0.25">
      <c r="A31" s="8" t="s">
        <v>27</v>
      </c>
      <c r="B31" s="9">
        <v>4500000</v>
      </c>
      <c r="C31" s="9">
        <f t="shared" si="7"/>
        <v>2258.8650000000002</v>
      </c>
      <c r="D31" s="9">
        <f>IF(MAX(B$30:B$32)&gt;$D$4,$D$4,MAX(B$30:B$32))/MAX(B$30:B$32)*B31</f>
        <v>600000</v>
      </c>
      <c r="E31" s="27">
        <f>D31/B31</f>
        <v>0.13333333333333333</v>
      </c>
      <c r="F31" s="11">
        <f t="shared" ref="F31:F32" si="8">C31*E31</f>
        <v>301.18200000000002</v>
      </c>
      <c r="G31" s="12">
        <f>D31*$B$5</f>
        <v>0</v>
      </c>
      <c r="H31" s="27">
        <f>G31/D31</f>
        <v>0</v>
      </c>
      <c r="I31" s="11">
        <f t="shared" ref="I31:I32" si="9">F31*H31</f>
        <v>0</v>
      </c>
      <c r="J31" s="12">
        <f>D31-G31</f>
        <v>600000</v>
      </c>
      <c r="K31" s="10">
        <f>J31/D31</f>
        <v>1</v>
      </c>
      <c r="L31" s="11">
        <f t="shared" ref="L31:L32" si="10">F31*K31</f>
        <v>301.18200000000002</v>
      </c>
      <c r="M31" s="24">
        <f>(IF(MAX(J30:J32)&gt;$D$6,$D$6,MAX(J30:J32)))/MAX(J30:J32)*J31</f>
        <v>200000</v>
      </c>
      <c r="N31" s="27">
        <f t="shared" ref="N31:N32" si="11">M31/J31</f>
        <v>0.33333333333333331</v>
      </c>
      <c r="O31" s="25">
        <f>IF(D$6&gt;0,(J31-M31),0)</f>
        <v>400000</v>
      </c>
      <c r="P31" s="27">
        <f t="shared" ref="P31:P32" si="12">O31/J31</f>
        <v>0.66666666666666663</v>
      </c>
      <c r="Q31" s="9">
        <f xml:space="preserve"> IF((MAX(B$30:B$32)-MAX(D$30:D$32))&gt;$D$7,$D$7,(MAX(B$30:B$32)-MAX(D$30:D$32)))/MAX(B$30:B$32)*B31</f>
        <v>0</v>
      </c>
      <c r="R31" s="27">
        <f>Q31/B31</f>
        <v>0</v>
      </c>
      <c r="S31" s="13">
        <f>C31*R31</f>
        <v>0</v>
      </c>
      <c r="T31" s="12">
        <f>B31-D31-Q31</f>
        <v>3900000</v>
      </c>
      <c r="U31" s="27">
        <f>T31/B31</f>
        <v>0.8666666666666667</v>
      </c>
      <c r="V31" s="11">
        <f>C31*U31</f>
        <v>1957.6830000000002</v>
      </c>
    </row>
    <row r="32" spans="1:22" x14ac:dyDescent="0.25">
      <c r="A32" s="8" t="s">
        <v>28</v>
      </c>
      <c r="B32" s="9">
        <v>125000000</v>
      </c>
      <c r="C32" s="9">
        <f t="shared" si="7"/>
        <v>62746.25</v>
      </c>
      <c r="D32" s="9">
        <f>IF(MAX(B$30:B$32)&gt;$D$4,$D$4,MAX(B$30:B$32))/MAX(B$30:B$32)*B32</f>
        <v>16666666.666666666</v>
      </c>
      <c r="E32" s="27">
        <f>D32/B32</f>
        <v>0.13333333333333333</v>
      </c>
      <c r="F32" s="11">
        <f t="shared" si="8"/>
        <v>8366.1666666666661</v>
      </c>
      <c r="G32" s="12">
        <f>D32*$B$5</f>
        <v>0</v>
      </c>
      <c r="H32" s="27">
        <f>G32/D32</f>
        <v>0</v>
      </c>
      <c r="I32" s="11">
        <f t="shared" si="9"/>
        <v>0</v>
      </c>
      <c r="J32" s="12">
        <f>D32-G32</f>
        <v>16666666.666666666</v>
      </c>
      <c r="K32" s="10">
        <f>J32/D32</f>
        <v>1</v>
      </c>
      <c r="L32" s="11">
        <f t="shared" si="10"/>
        <v>8366.1666666666661</v>
      </c>
      <c r="M32" s="24">
        <f>(IF(MAX(J30:J32)&gt;$D$6,$D$6,MAX(J30:J32)))/MAX(J30:J32)*J32</f>
        <v>5555555.555555555</v>
      </c>
      <c r="N32" s="27">
        <f t="shared" si="11"/>
        <v>0.33333333333333331</v>
      </c>
      <c r="O32" s="25">
        <f>IF(D$6&gt;0,(J32-M32),0)</f>
        <v>11111111.111111112</v>
      </c>
      <c r="P32" s="27">
        <f t="shared" si="12"/>
        <v>0.66666666666666674</v>
      </c>
      <c r="Q32" s="9">
        <f xml:space="preserve"> IF((MAX(B$30:B$32)-MAX(D$30:D$32))&gt;$D$7,$D$7,(MAX(B$30:B$32)-MAX(D$30:D$32)))/MAX(B$30:B$32)*B32</f>
        <v>0</v>
      </c>
      <c r="R32" s="27">
        <f>Q32/B32</f>
        <v>0</v>
      </c>
      <c r="S32" s="13">
        <f>C32*R32</f>
        <v>0</v>
      </c>
      <c r="T32" s="12">
        <f>B32-D32-Q32</f>
        <v>108333333.33333333</v>
      </c>
      <c r="U32" s="27">
        <f>T32/B32</f>
        <v>0.86666666666666659</v>
      </c>
      <c r="V32" s="11">
        <f>C32*U32</f>
        <v>54380.083333333328</v>
      </c>
    </row>
    <row r="33" spans="1:22" x14ac:dyDescent="0.25">
      <c r="A33" s="14" t="s">
        <v>29</v>
      </c>
      <c r="B33" s="17">
        <f>SUM(B30:B32)</f>
        <v>579500000</v>
      </c>
      <c r="C33" s="17">
        <f>SUM(C30:C32)</f>
        <v>290891.61499999999</v>
      </c>
      <c r="D33" s="9"/>
      <c r="E33" s="10"/>
      <c r="F33" s="11"/>
      <c r="G33" s="12"/>
      <c r="H33" s="10"/>
      <c r="I33" s="11"/>
      <c r="J33" s="12"/>
      <c r="K33" s="10"/>
      <c r="L33" s="11"/>
      <c r="M33" s="9"/>
      <c r="N33" s="10"/>
      <c r="O33" s="8"/>
      <c r="P33" s="8"/>
      <c r="Q33" s="9"/>
      <c r="R33" s="27"/>
      <c r="S33" s="13"/>
      <c r="T33" s="12"/>
      <c r="U33" s="10"/>
      <c r="V33" s="11"/>
    </row>
    <row r="36" spans="1:22" ht="75" x14ac:dyDescent="0.25">
      <c r="A36" s="16" t="s">
        <v>39</v>
      </c>
      <c r="B36" s="5" t="s">
        <v>8</v>
      </c>
      <c r="C36" s="6" t="s">
        <v>9</v>
      </c>
      <c r="D36" s="5" t="s">
        <v>4</v>
      </c>
      <c r="E36" s="5" t="s">
        <v>10</v>
      </c>
      <c r="F36" s="7" t="s">
        <v>11</v>
      </c>
      <c r="G36" s="5" t="s">
        <v>12</v>
      </c>
      <c r="H36" s="5" t="s">
        <v>13</v>
      </c>
      <c r="I36" s="7" t="s">
        <v>14</v>
      </c>
      <c r="J36" s="5" t="s">
        <v>15</v>
      </c>
      <c r="K36" s="5" t="s">
        <v>16</v>
      </c>
      <c r="L36" s="7" t="s">
        <v>17</v>
      </c>
      <c r="M36" s="5" t="s">
        <v>18</v>
      </c>
      <c r="N36" s="6" t="s">
        <v>31</v>
      </c>
      <c r="O36" s="5" t="s">
        <v>19</v>
      </c>
      <c r="P36" s="26" t="s">
        <v>32</v>
      </c>
      <c r="Q36" s="5" t="s">
        <v>20</v>
      </c>
      <c r="R36" s="5" t="s">
        <v>21</v>
      </c>
      <c r="S36" s="7" t="s">
        <v>22</v>
      </c>
      <c r="T36" s="5" t="s">
        <v>23</v>
      </c>
      <c r="U36" s="5" t="s">
        <v>24</v>
      </c>
      <c r="V36" s="7" t="s">
        <v>25</v>
      </c>
    </row>
    <row r="37" spans="1:22" x14ac:dyDescent="0.25">
      <c r="A37" s="8" t="s">
        <v>26</v>
      </c>
      <c r="B37" s="9">
        <v>450000000</v>
      </c>
      <c r="C37" s="9">
        <f t="shared" ref="C37:C40" si="13">B37*B$9</f>
        <v>225886.5</v>
      </c>
      <c r="D37" s="9">
        <f>IF(MAX(B$37:B$40)&gt;$D$4,$D$4,MAX(B$37:B$40))/MAX(B$37:B$40)*B37</f>
        <v>38571428.571428575</v>
      </c>
      <c r="E37" s="27">
        <f>D37/B37</f>
        <v>8.5714285714285715E-2</v>
      </c>
      <c r="F37" s="11">
        <f>C37*E37</f>
        <v>19361.7</v>
      </c>
      <c r="G37" s="12">
        <f>D37*$B$5</f>
        <v>0</v>
      </c>
      <c r="H37" s="27">
        <f>G37/D37</f>
        <v>0</v>
      </c>
      <c r="I37" s="11">
        <f>F37*H37</f>
        <v>0</v>
      </c>
      <c r="J37" s="12">
        <f>D37-G37</f>
        <v>38571428.571428575</v>
      </c>
      <c r="K37" s="10">
        <f>J37/D37</f>
        <v>1</v>
      </c>
      <c r="L37" s="11">
        <f>F37*K37</f>
        <v>19361.7</v>
      </c>
      <c r="M37" s="9">
        <f>(IF(MAX(J37:J40)&gt;$D$6,$D$6,J37))/MAX(J37:J40)*J37</f>
        <v>12857142.857142858</v>
      </c>
      <c r="N37" s="27">
        <f>M37/J37</f>
        <v>0.33333333333333331</v>
      </c>
      <c r="O37" s="9">
        <f>IF(D$6&gt;0,(J37-M37),0)</f>
        <v>25714285.714285716</v>
      </c>
      <c r="P37" s="27">
        <f>O37/J37</f>
        <v>0.66666666666666663</v>
      </c>
      <c r="Q37" s="9">
        <f xml:space="preserve"> IF((MAX(B$37:B$40)-MAX(D$37:D$40))&gt;$D$7,$D$7,(MAX(B$37:B$40)-MAX(D$37:D$40)))/MAX(B$37:B$40)*B37</f>
        <v>0</v>
      </c>
      <c r="R37" s="27">
        <f>Q37/B37</f>
        <v>0</v>
      </c>
      <c r="S37" s="13">
        <f>C37*R37</f>
        <v>0</v>
      </c>
      <c r="T37" s="12">
        <f>B37-D37-Q37</f>
        <v>411428571.4285714</v>
      </c>
      <c r="U37" s="27">
        <f>T37/B37</f>
        <v>0.91428571428571426</v>
      </c>
      <c r="V37" s="11">
        <f>C37*U37</f>
        <v>206524.79999999999</v>
      </c>
    </row>
    <row r="38" spans="1:22" x14ac:dyDescent="0.25">
      <c r="A38" s="8" t="s">
        <v>27</v>
      </c>
      <c r="B38" s="9">
        <v>4500000</v>
      </c>
      <c r="C38" s="9">
        <f t="shared" si="13"/>
        <v>2258.8650000000002</v>
      </c>
      <c r="D38" s="9">
        <f>IF(MAX(B$37:B$40)&gt;$D$4,$D$4,MAX(B$37:B$40))/MAX(B$37:B$40)*B38</f>
        <v>385714.28571428574</v>
      </c>
      <c r="E38" s="27">
        <f>D38/B38</f>
        <v>8.5714285714285715E-2</v>
      </c>
      <c r="F38" s="11">
        <f t="shared" ref="F38:F39" si="14">C38*E38</f>
        <v>193.61700000000002</v>
      </c>
      <c r="G38" s="12">
        <f>D38*$B$5</f>
        <v>0</v>
      </c>
      <c r="H38" s="27">
        <f>G38/D38</f>
        <v>0</v>
      </c>
      <c r="I38" s="11">
        <f t="shared" ref="I38:I39" si="15">F38*H38</f>
        <v>0</v>
      </c>
      <c r="J38" s="12">
        <f>D38-G38</f>
        <v>385714.28571428574</v>
      </c>
      <c r="K38" s="10">
        <f>J38/D38</f>
        <v>1</v>
      </c>
      <c r="L38" s="11">
        <f t="shared" ref="L38:L40" si="16">F38*K38</f>
        <v>193.61700000000002</v>
      </c>
      <c r="M38" s="9">
        <f>(IF(MAX(J37:J40)&gt;$D$6,$D$6,MAX(J37:J40)))/MAX(J37:J40)*J38</f>
        <v>128571.42857142858</v>
      </c>
      <c r="N38" s="27">
        <f t="shared" ref="N38:N40" si="17">M38/J38</f>
        <v>0.33333333333333331</v>
      </c>
      <c r="O38" s="9">
        <f>IF(D$6&gt;0,(J38-M38),0)</f>
        <v>257142.85714285716</v>
      </c>
      <c r="P38" s="27">
        <f t="shared" ref="P38:P40" si="18">O38/J38</f>
        <v>0.66666666666666663</v>
      </c>
      <c r="Q38" s="9">
        <f xml:space="preserve"> IF((MAX(B$37:B$40)-MAX(D$37:D$40))&gt;$D$7,$D$7,(MAX(B$37:B$40)-MAX(D$37:D$40)))/MAX(B$37:B$40)*B38</f>
        <v>0</v>
      </c>
      <c r="R38" s="27">
        <f>Q38/B38</f>
        <v>0</v>
      </c>
      <c r="S38" s="13">
        <f>C38*R38</f>
        <v>0</v>
      </c>
      <c r="T38" s="12">
        <f>B38-D38-Q38</f>
        <v>4114285.7142857141</v>
      </c>
      <c r="U38" s="27">
        <f>T38/B38</f>
        <v>0.91428571428571426</v>
      </c>
      <c r="V38" s="11">
        <f>C38*U38</f>
        <v>2065.248</v>
      </c>
    </row>
    <row r="39" spans="1:22" x14ac:dyDescent="0.25">
      <c r="A39" s="8" t="s">
        <v>28</v>
      </c>
      <c r="B39" s="9">
        <v>125000000</v>
      </c>
      <c r="C39" s="9">
        <f t="shared" si="13"/>
        <v>62746.25</v>
      </c>
      <c r="D39" s="9">
        <f>IF(MAX(B$37:B$40)&gt;$D$4,$D$4,MAX(B$37:B$40))/MAX(B$37:B$40)*B39</f>
        <v>10714285.714285715</v>
      </c>
      <c r="E39" s="27">
        <f>D39/B39</f>
        <v>8.5714285714285715E-2</v>
      </c>
      <c r="F39" s="11">
        <f t="shared" si="14"/>
        <v>5378.25</v>
      </c>
      <c r="G39" s="12">
        <f>D39*$B$5</f>
        <v>0</v>
      </c>
      <c r="H39" s="27">
        <f>G39/D39</f>
        <v>0</v>
      </c>
      <c r="I39" s="11">
        <f t="shared" si="15"/>
        <v>0</v>
      </c>
      <c r="J39" s="12">
        <f>D39-G39</f>
        <v>10714285.714285715</v>
      </c>
      <c r="K39" s="10">
        <f>J39/D39</f>
        <v>1</v>
      </c>
      <c r="L39" s="11">
        <f t="shared" si="16"/>
        <v>5378.25</v>
      </c>
      <c r="M39" s="9">
        <f>(IF(MAX(J37:J40)&gt;$D$6,$D$6,J37))/MAX(J37:J40)*J39</f>
        <v>3571428.5714285714</v>
      </c>
      <c r="N39" s="27">
        <f t="shared" si="17"/>
        <v>0.33333333333333331</v>
      </c>
      <c r="O39" s="9">
        <f>IF(D$6&gt;0,(J39-M39),0)</f>
        <v>7142857.1428571437</v>
      </c>
      <c r="P39" s="27">
        <f t="shared" si="18"/>
        <v>0.66666666666666674</v>
      </c>
      <c r="Q39" s="9">
        <f xml:space="preserve"> IF((MAX(B$37:B$40)-MAX(D$37:D$40))&gt;$D$7,$D$7,(MAX(B$37:B$40)-MAX(D$37:D$40)))/MAX(B$37:B$40)*B39</f>
        <v>0</v>
      </c>
      <c r="R39" s="27">
        <f>Q39/B39</f>
        <v>0</v>
      </c>
      <c r="S39" s="13">
        <f>C39*R39</f>
        <v>0</v>
      </c>
      <c r="T39" s="12">
        <f>B39-D39-Q39</f>
        <v>114285714.28571428</v>
      </c>
      <c r="U39" s="27">
        <f>T39/B39</f>
        <v>0.91428571428571426</v>
      </c>
      <c r="V39" s="11">
        <f>C39*U39</f>
        <v>57368</v>
      </c>
    </row>
    <row r="40" spans="1:22" x14ac:dyDescent="0.25">
      <c r="A40" s="18" t="s">
        <v>30</v>
      </c>
      <c r="B40" s="9">
        <v>700000000</v>
      </c>
      <c r="C40" s="9">
        <f t="shared" si="13"/>
        <v>351379</v>
      </c>
      <c r="D40" s="9">
        <f>IF(MAX(B$37:B$40)&gt;$D$4,$D$4,MAX(B$37:B$40))/MAX(B$37:B$40)*B40</f>
        <v>60000000</v>
      </c>
      <c r="E40" s="27">
        <f>D40/B40</f>
        <v>8.5714285714285715E-2</v>
      </c>
      <c r="F40" s="11">
        <f>C40*E40</f>
        <v>30118.2</v>
      </c>
      <c r="G40" s="12">
        <f>D40*$B$5</f>
        <v>0</v>
      </c>
      <c r="H40" s="27">
        <f>G40/D40</f>
        <v>0</v>
      </c>
      <c r="I40" s="11">
        <f>F40*H40</f>
        <v>0</v>
      </c>
      <c r="J40" s="12">
        <f>D40-G40</f>
        <v>60000000</v>
      </c>
      <c r="K40" s="10">
        <f>J40/D40</f>
        <v>1</v>
      </c>
      <c r="L40" s="11">
        <f t="shared" si="16"/>
        <v>30118.2</v>
      </c>
      <c r="M40" s="9">
        <f>(IF(MAX(J37:J40)&gt;$D$6,$D$6,J37))/MAX(J37:J40)*J40</f>
        <v>20000000</v>
      </c>
      <c r="N40" s="27">
        <f t="shared" si="17"/>
        <v>0.33333333333333331</v>
      </c>
      <c r="O40" s="9">
        <f>IF(D$6&gt;0,(J40-M40),0)</f>
        <v>40000000</v>
      </c>
      <c r="P40" s="27">
        <f t="shared" si="18"/>
        <v>0.66666666666666663</v>
      </c>
      <c r="Q40" s="9">
        <f xml:space="preserve"> IF((MAX(B$37:B$40)-MAX(D$37:D$40))&gt;$D$7,$D$7,(MAX(B$37:B$40)-MAX(D$37:D$40)))/MAX(B$37:B$40)*B40</f>
        <v>0</v>
      </c>
      <c r="R40" s="27">
        <f>Q40/B40</f>
        <v>0</v>
      </c>
      <c r="S40" s="13">
        <f>C40*R40</f>
        <v>0</v>
      </c>
      <c r="T40" s="12">
        <f>B40-D40-Q40</f>
        <v>640000000</v>
      </c>
      <c r="U40" s="27">
        <f>T40/B40</f>
        <v>0.91428571428571426</v>
      </c>
      <c r="V40" s="11">
        <f>C40*U40</f>
        <v>321260.79999999999</v>
      </c>
    </row>
    <row r="41" spans="1:22" x14ac:dyDescent="0.25">
      <c r="A41" s="14" t="s">
        <v>29</v>
      </c>
      <c r="B41" s="15">
        <f>SUM(B37:B40)</f>
        <v>1279500000</v>
      </c>
      <c r="C41" s="15">
        <f>SUM(C37:C40)</f>
        <v>642270.61499999999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5">
      <c r="B42" s="19"/>
    </row>
    <row r="43" spans="1:22" x14ac:dyDescent="0.25">
      <c r="B43" s="4"/>
      <c r="C43" s="4"/>
    </row>
    <row r="44" spans="1:22" ht="75" x14ac:dyDescent="0.25">
      <c r="A44" s="16" t="s">
        <v>39</v>
      </c>
      <c r="B44" s="5" t="s">
        <v>8</v>
      </c>
      <c r="C44" s="6" t="s">
        <v>9</v>
      </c>
      <c r="D44" s="5" t="s">
        <v>4</v>
      </c>
      <c r="E44" s="5" t="s">
        <v>10</v>
      </c>
      <c r="F44" s="7" t="s">
        <v>11</v>
      </c>
      <c r="G44" s="5" t="s">
        <v>12</v>
      </c>
      <c r="H44" s="5" t="s">
        <v>13</v>
      </c>
      <c r="I44" s="7" t="s">
        <v>14</v>
      </c>
      <c r="J44" s="5" t="s">
        <v>15</v>
      </c>
      <c r="K44" s="5" t="s">
        <v>16</v>
      </c>
      <c r="L44" s="7" t="s">
        <v>17</v>
      </c>
      <c r="M44" s="5" t="s">
        <v>18</v>
      </c>
      <c r="N44" s="6" t="s">
        <v>31</v>
      </c>
      <c r="O44" s="5" t="s">
        <v>19</v>
      </c>
      <c r="P44" s="26" t="s">
        <v>32</v>
      </c>
      <c r="Q44" s="5" t="s">
        <v>20</v>
      </c>
      <c r="R44" s="5" t="s">
        <v>21</v>
      </c>
      <c r="S44" s="7" t="s">
        <v>22</v>
      </c>
      <c r="T44" s="5" t="s">
        <v>23</v>
      </c>
      <c r="U44" s="5" t="s">
        <v>24</v>
      </c>
      <c r="V44" s="7" t="s">
        <v>25</v>
      </c>
    </row>
    <row r="45" spans="1:22" x14ac:dyDescent="0.25">
      <c r="A45" s="8" t="s">
        <v>26</v>
      </c>
      <c r="B45" s="9">
        <v>450000000</v>
      </c>
      <c r="C45" s="9">
        <f t="shared" ref="C45:C48" si="19">B45*B$9</f>
        <v>225886.5</v>
      </c>
      <c r="D45" s="9">
        <f>IF(MAX(B$37:B$40)&gt;$D$4,$D$4,MAX(B$37:B$40))/MAX(B$37:B$40)*B45</f>
        <v>38571428.571428575</v>
      </c>
      <c r="E45" s="27">
        <f>D45/B45</f>
        <v>8.5714285714285715E-2</v>
      </c>
      <c r="F45" s="11">
        <f>C45*E45</f>
        <v>19361.7</v>
      </c>
      <c r="G45" s="12">
        <f>D45*$B$5</f>
        <v>0</v>
      </c>
      <c r="H45" s="27">
        <f>G45/D45</f>
        <v>0</v>
      </c>
      <c r="I45" s="11">
        <f>F45*H45</f>
        <v>0</v>
      </c>
      <c r="J45" s="12">
        <f>D45-G45</f>
        <v>38571428.571428575</v>
      </c>
      <c r="K45" s="10">
        <f>J45/D45</f>
        <v>1</v>
      </c>
      <c r="L45" s="11">
        <f>F45*K45</f>
        <v>19361.7</v>
      </c>
      <c r="M45" s="9">
        <f>(IF(MAX(J45:J48)&gt;$D$6,$D$6,J45))/MAX(J45:J48)*J45</f>
        <v>15000000.000000002</v>
      </c>
      <c r="N45" s="27">
        <f>M45/J45</f>
        <v>0.3888888888888889</v>
      </c>
      <c r="O45" s="9">
        <f>IF(D$6&gt;0,(J45-M45),0)</f>
        <v>23571428.571428575</v>
      </c>
      <c r="P45" s="27">
        <f>O45/J45</f>
        <v>0.61111111111111116</v>
      </c>
      <c r="Q45" s="9">
        <f xml:space="preserve"> IF((MAX(B$37:B$40)-MAX(D$37:D$40))&gt;$D$7,$D$7,(MAX(B$37:B$40)-MAX(D$37:D$40)))/MAX(B$37:B$40)*B45</f>
        <v>0</v>
      </c>
      <c r="R45" s="27">
        <f>Q45/B45</f>
        <v>0</v>
      </c>
      <c r="S45" s="13">
        <f>C45*R45</f>
        <v>0</v>
      </c>
      <c r="T45" s="12">
        <f>B45-D45-Q45</f>
        <v>411428571.4285714</v>
      </c>
      <c r="U45" s="27">
        <f>T45/B45</f>
        <v>0.91428571428571426</v>
      </c>
      <c r="V45" s="11">
        <f>C45*U45</f>
        <v>206524.79999999999</v>
      </c>
    </row>
    <row r="46" spans="1:22" x14ac:dyDescent="0.25">
      <c r="A46" s="8" t="s">
        <v>27</v>
      </c>
      <c r="B46" s="9">
        <v>4500000</v>
      </c>
      <c r="C46" s="9">
        <f t="shared" si="19"/>
        <v>2258.8650000000002</v>
      </c>
      <c r="D46" s="9">
        <f>IF(MAX(B$37:B$40)&gt;$D$4,$D$4,MAX(B$37:B$40))/MAX(B$37:B$40)*B46</f>
        <v>385714.28571428574</v>
      </c>
      <c r="E46" s="27">
        <f>D46/B46</f>
        <v>8.5714285714285715E-2</v>
      </c>
      <c r="F46" s="11">
        <f t="shared" ref="F46:F47" si="20">C46*E46</f>
        <v>193.61700000000002</v>
      </c>
      <c r="G46" s="12">
        <f>D46*$B$5</f>
        <v>0</v>
      </c>
      <c r="H46" s="27">
        <f>G46/D46</f>
        <v>0</v>
      </c>
      <c r="I46" s="11">
        <f t="shared" ref="I46:I47" si="21">F46*H46</f>
        <v>0</v>
      </c>
      <c r="J46" s="12">
        <f>D46-G46</f>
        <v>385714.28571428574</v>
      </c>
      <c r="K46" s="10">
        <f>J46/D46</f>
        <v>1</v>
      </c>
      <c r="L46" s="11">
        <f t="shared" ref="L46:L48" si="22">F46*K46</f>
        <v>193.61700000000002</v>
      </c>
      <c r="M46" s="9">
        <f>(IF(MAX(J45:J48)&gt;$D$6,$D$6,MAX(J45:J48)))/MAX(J45:J48)*J46</f>
        <v>150000</v>
      </c>
      <c r="N46" s="27">
        <f t="shared" ref="N46:N48" si="23">M46/J46</f>
        <v>0.38888888888888884</v>
      </c>
      <c r="O46" s="9">
        <f>IF(D$6&gt;0,(J46-M46),0)</f>
        <v>235714.28571428574</v>
      </c>
      <c r="P46" s="27">
        <f t="shared" ref="P46:P48" si="24">O46/J46</f>
        <v>0.61111111111111116</v>
      </c>
      <c r="Q46" s="9">
        <f xml:space="preserve"> IF((MAX(B$37:B$40)-MAX(D$37:D$40))&gt;$D$7,$D$7,(MAX(B$37:B$40)-MAX(D$37:D$40)))/MAX(B$37:B$40)*B46</f>
        <v>0</v>
      </c>
      <c r="R46" s="27">
        <f>Q46/B46</f>
        <v>0</v>
      </c>
      <c r="S46" s="13">
        <f>C46*R46</f>
        <v>0</v>
      </c>
      <c r="T46" s="12">
        <f>B46-D46-Q46</f>
        <v>4114285.7142857141</v>
      </c>
      <c r="U46" s="27">
        <f>T46/B46</f>
        <v>0.91428571428571426</v>
      </c>
      <c r="V46" s="11">
        <f>C46*U46</f>
        <v>2065.248</v>
      </c>
    </row>
    <row r="47" spans="1:22" x14ac:dyDescent="0.25">
      <c r="A47" s="8" t="s">
        <v>28</v>
      </c>
      <c r="B47" s="9">
        <v>125000000</v>
      </c>
      <c r="C47" s="9">
        <f t="shared" si="19"/>
        <v>62746.25</v>
      </c>
      <c r="D47" s="9">
        <f>IF(MAX(B$37:B$40)&gt;$D$4,$D$4,MAX(B$37:B$40))/MAX(B$37:B$40)*B47</f>
        <v>10714285.714285715</v>
      </c>
      <c r="E47" s="27">
        <f>D47/B47</f>
        <v>8.5714285714285715E-2</v>
      </c>
      <c r="F47" s="11">
        <f t="shared" si="20"/>
        <v>5378.25</v>
      </c>
      <c r="G47" s="12">
        <f>D47*$B$5</f>
        <v>0</v>
      </c>
      <c r="H47" s="27">
        <f>G47/D47</f>
        <v>0</v>
      </c>
      <c r="I47" s="11">
        <f t="shared" si="21"/>
        <v>0</v>
      </c>
      <c r="J47" s="12">
        <f>D47-G47</f>
        <v>10714285.714285715</v>
      </c>
      <c r="K47" s="10">
        <f>J47/D47</f>
        <v>1</v>
      </c>
      <c r="L47" s="11">
        <f t="shared" si="22"/>
        <v>5378.25</v>
      </c>
      <c r="M47" s="9">
        <f>(IF(MAX(J45:J48)&gt;$D$6,$D$6,J45))/MAX(J45:J48)*J47</f>
        <v>4166666.666666667</v>
      </c>
      <c r="N47" s="27">
        <f t="shared" si="23"/>
        <v>0.3888888888888889</v>
      </c>
      <c r="O47" s="9">
        <f>IF(D$6&gt;0,(J47-M47),0)</f>
        <v>6547619.0476190476</v>
      </c>
      <c r="P47" s="27">
        <f t="shared" si="24"/>
        <v>0.61111111111111105</v>
      </c>
      <c r="Q47" s="9">
        <f xml:space="preserve"> IF((MAX(B$37:B$40)-MAX(D$37:D$40))&gt;$D$7,$D$7,(MAX(B$37:B$40)-MAX(D$37:D$40)))/MAX(B$37:B$40)*B47</f>
        <v>0</v>
      </c>
      <c r="R47" s="27">
        <f>Q47/B47</f>
        <v>0</v>
      </c>
      <c r="S47" s="13">
        <f>C47*R47</f>
        <v>0</v>
      </c>
      <c r="T47" s="12">
        <f>B47-D47-Q47</f>
        <v>114285714.28571428</v>
      </c>
      <c r="U47" s="27">
        <f>T47/B47</f>
        <v>0.91428571428571426</v>
      </c>
      <c r="V47" s="11">
        <f>C47*U47</f>
        <v>57368</v>
      </c>
    </row>
    <row r="48" spans="1:22" x14ac:dyDescent="0.25">
      <c r="A48" s="18" t="s">
        <v>30</v>
      </c>
      <c r="B48" s="9">
        <v>600000000</v>
      </c>
      <c r="C48" s="9">
        <f t="shared" si="19"/>
        <v>301182</v>
      </c>
      <c r="D48" s="9">
        <f>IF(MAX(B$37:B$40)&gt;$D$4,$D$4,MAX(B$37:B$40))/MAX(B$37:B$40)*B48</f>
        <v>51428571.428571425</v>
      </c>
      <c r="E48" s="27">
        <f>D48/B48</f>
        <v>8.5714285714285715E-2</v>
      </c>
      <c r="F48" s="11">
        <f>C48*E48</f>
        <v>25815.599999999999</v>
      </c>
      <c r="G48" s="12">
        <f>D48*$B$5</f>
        <v>0</v>
      </c>
      <c r="H48" s="27">
        <f>G48/D48</f>
        <v>0</v>
      </c>
      <c r="I48" s="11">
        <f>F48*H48</f>
        <v>0</v>
      </c>
      <c r="J48" s="12">
        <f>D48-G48</f>
        <v>51428571.428571425</v>
      </c>
      <c r="K48" s="10">
        <f>J48/D48</f>
        <v>1</v>
      </c>
      <c r="L48" s="11">
        <f t="shared" si="22"/>
        <v>25815.599999999999</v>
      </c>
      <c r="M48" s="9">
        <f>(IF(MAX(J45:J48)&gt;$D$6,$D$6,J45))/MAX(J45:J48)*J48</f>
        <v>20000000</v>
      </c>
      <c r="N48" s="27">
        <f t="shared" si="23"/>
        <v>0.3888888888888889</v>
      </c>
      <c r="O48" s="9">
        <f>IF(D$6&gt;0,(J48-M48),0)</f>
        <v>31428571.428571425</v>
      </c>
      <c r="P48" s="27">
        <f t="shared" si="24"/>
        <v>0.61111111111111105</v>
      </c>
      <c r="Q48" s="9">
        <f xml:space="preserve"> IF((MAX(B$37:B$40)-MAX(D$37:D$40))&gt;$D$7,$D$7,(MAX(B$37:B$40)-MAX(D$37:D$40)))/MAX(B$37:B$40)*B48</f>
        <v>0</v>
      </c>
      <c r="R48" s="27">
        <f>Q48/B48</f>
        <v>0</v>
      </c>
      <c r="S48" s="13">
        <f>C48*R48</f>
        <v>0</v>
      </c>
      <c r="T48" s="12">
        <f>B48-D48-Q48</f>
        <v>548571428.57142854</v>
      </c>
      <c r="U48" s="27">
        <f>T48/B48</f>
        <v>0.91428571428571426</v>
      </c>
      <c r="V48" s="11">
        <f>C48*U48</f>
        <v>275366.39999999997</v>
      </c>
    </row>
    <row r="49" spans="1:22" x14ac:dyDescent="0.25">
      <c r="A49" s="14" t="s">
        <v>29</v>
      </c>
      <c r="B49" s="15">
        <f>SUM(B45:B48)</f>
        <v>1179500000</v>
      </c>
      <c r="C49" s="15">
        <f>SUM(C45:C48)</f>
        <v>592073.61499999999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</sheetData>
  <mergeCells count="1"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Fire 2023 Treaty Bhuvanesh</vt:lpstr>
      <vt:lpstr>Fire 2023 Treaty</vt:lpstr>
      <vt:lpstr>Sheet2</vt:lpstr>
      <vt:lpstr>Fire 2024 Treaty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NIJANTHAN PL</dc:creator>
  <cp:lastModifiedBy>Ravi Raj. R</cp:lastModifiedBy>
  <dcterms:created xsi:type="dcterms:W3CDTF">2024-06-10T09:21:11Z</dcterms:created>
  <dcterms:modified xsi:type="dcterms:W3CDTF">2025-05-30T05:22:52Z</dcterms:modified>
</cp:coreProperties>
</file>