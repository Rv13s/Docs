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ZIVA\NEW\Sprint 36\"/>
    </mc:Choice>
  </mc:AlternateContent>
  <bookViews>
    <workbookView xWindow="0" yWindow="0" windowWidth="21600" windowHeight="9300" tabRatio="763" activeTab="1"/>
  </bookViews>
  <sheets>
    <sheet name="Revision History" sheetId="8" r:id="rId1"/>
    <sheet name="Sprint Backlog" sheetId="29" r:id="rId2"/>
    <sheet name="Sprint Capacity Plan" sheetId="10" r:id="rId3"/>
    <sheet name="Sprint Burndown chart" sheetId="16" r:id="rId4"/>
  </sheets>
  <externalReferences>
    <externalReference r:id="rId5"/>
  </externalReferences>
  <definedNames>
    <definedName name="_xlnm._FilterDatabase" localSheetId="1" hidden="1">'Sprint Backlog'!$A$7:$S$68</definedName>
    <definedName name="_Toc302395871" localSheetId="1">'Sprint Backlog'!$A$4</definedName>
    <definedName name="_Toc302395872" localSheetId="1">'Sprint Backlog'!#REF!</definedName>
    <definedName name="_Toc302395873" localSheetId="1">'Sprint Backlog'!#REF!</definedName>
    <definedName name="_Toc302395874" localSheetId="1">'Sprint Backlog'!#REF!</definedName>
    <definedName name="theyear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5" i="10" l="1"/>
  <c r="G14" i="10"/>
  <c r="H14" i="10"/>
  <c r="S68" i="29"/>
  <c r="R68" i="29"/>
  <c r="Q68" i="29"/>
  <c r="P68" i="29"/>
  <c r="O68" i="29"/>
  <c r="N68" i="29"/>
  <c r="M68" i="29"/>
  <c r="L68" i="29"/>
  <c r="K68" i="29"/>
  <c r="J68" i="29"/>
  <c r="I68" i="29"/>
  <c r="E15" i="10" l="1"/>
  <c r="D68" i="29"/>
  <c r="H12" i="10" l="1"/>
  <c r="G12" i="10"/>
  <c r="H10" i="10"/>
  <c r="G10" i="10"/>
  <c r="G9" i="10"/>
  <c r="D13" i="10" l="1"/>
  <c r="G13" i="10" l="1"/>
  <c r="H13" i="10"/>
  <c r="G15" i="10" l="1"/>
  <c r="G8" i="10" l="1"/>
  <c r="G11" i="10"/>
  <c r="D9" i="16" l="1"/>
  <c r="D10" i="16" s="1"/>
  <c r="D11" i="16" s="1"/>
  <c r="D12" i="16" s="1"/>
  <c r="D13" i="16" s="1"/>
  <c r="D14" i="16" s="1"/>
  <c r="D15" i="16" s="1"/>
  <c r="D16" i="16" s="1"/>
  <c r="D17" i="16" s="1"/>
  <c r="D18" i="16" s="1"/>
  <c r="D19" i="16" s="1"/>
  <c r="H11" i="10"/>
  <c r="H9" i="10"/>
  <c r="H8" i="10"/>
  <c r="H15" i="10" l="1"/>
  <c r="G19" i="16"/>
  <c r="G17" i="16" l="1"/>
  <c r="G16" i="16"/>
  <c r="G15" i="16"/>
  <c r="G14" i="16"/>
  <c r="G10" i="16" l="1"/>
  <c r="G11" i="16"/>
  <c r="G12" i="16"/>
  <c r="G13" i="16"/>
  <c r="G18" i="16"/>
  <c r="F10" i="16" l="1"/>
  <c r="F11" i="16" s="1"/>
  <c r="F12" i="16" s="1"/>
  <c r="F13" i="16" s="1"/>
  <c r="F14" i="16" s="1"/>
  <c r="F15" i="16" s="1"/>
  <c r="F16" i="16" s="1"/>
  <c r="F17" i="16" s="1"/>
  <c r="F18" i="16" s="1"/>
  <c r="F19" i="16" s="1"/>
  <c r="D8" i="10" l="1"/>
  <c r="D15" i="10" s="1"/>
  <c r="D9" i="10"/>
</calcChain>
</file>

<file path=xl/comments1.xml><?xml version="1.0" encoding="utf-8"?>
<comments xmlns="http://schemas.openxmlformats.org/spreadsheetml/2006/main">
  <authors>
    <author>Prabhu, Romali</author>
  </authors>
  <commentList>
    <comment ref="E7" authorId="0" shapeId="0">
      <text>
        <r>
          <rPr>
            <b/>
            <sz val="9"/>
            <color indexed="81"/>
            <rFont val="Tahoma"/>
            <family val="2"/>
          </rPr>
          <t xml:space="preserve">Admin: Dependencies on people, support group etc.                     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5" authorId="0" shapeId="0">
      <text>
        <r>
          <rPr>
            <b/>
            <sz val="9"/>
            <color indexed="81"/>
            <rFont val="Tahoma"/>
            <family val="2"/>
          </rPr>
          <t>SEPG:
Manual Entry field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<sst xmlns="http://schemas.openxmlformats.org/spreadsheetml/2006/main" count="226" uniqueCount="106">
  <si>
    <t>Priority</t>
  </si>
  <si>
    <t>Scrum Master</t>
  </si>
  <si>
    <t>Product Owner</t>
  </si>
  <si>
    <t>Start Date</t>
  </si>
  <si>
    <t>Load %</t>
  </si>
  <si>
    <t>Available (in Hrs)</t>
  </si>
  <si>
    <t>Sprint (Per Resource in Hours)</t>
  </si>
  <si>
    <t>Per Day (in Hours)</t>
  </si>
  <si>
    <t>Planned Leave (in Hours)</t>
  </si>
  <si>
    <t>Capacity (in Hours)</t>
  </si>
  <si>
    <t>Sprint Review &amp; Retro Date</t>
  </si>
  <si>
    <t>End Date</t>
  </si>
  <si>
    <t>Sprint Duration (In Days)</t>
  </si>
  <si>
    <t>Resource Name</t>
  </si>
  <si>
    <t>Tasks</t>
  </si>
  <si>
    <t>User Story ID</t>
  </si>
  <si>
    <t>Sprint BurnDown Chart</t>
  </si>
  <si>
    <t>Day 5</t>
  </si>
  <si>
    <t>Day 4</t>
  </si>
  <si>
    <t>Day 3</t>
  </si>
  <si>
    <t>Day 2</t>
  </si>
  <si>
    <t>Day 1</t>
  </si>
  <si>
    <t>Day 0</t>
  </si>
  <si>
    <t>Day</t>
  </si>
  <si>
    <t xml:space="preserve">Sprint Burn down Data </t>
  </si>
  <si>
    <t>Sprint BurnDown chart : Day Wise Data</t>
  </si>
  <si>
    <t>Actual Effort Burnt</t>
  </si>
  <si>
    <t>Revision History</t>
  </si>
  <si>
    <t>Date</t>
  </si>
  <si>
    <t>Size Estimation for User Story
(Storypoints)</t>
  </si>
  <si>
    <t>Sprint Backlog</t>
  </si>
  <si>
    <t>Sprint Capacity Plan</t>
  </si>
  <si>
    <t>Sprint Burndown chart</t>
  </si>
  <si>
    <t>Sheet 17 of 17</t>
  </si>
  <si>
    <t>Sprint Goal</t>
  </si>
  <si>
    <t>Sprint No</t>
  </si>
  <si>
    <t>Test Case &amp; Scenario Preparation</t>
  </si>
  <si>
    <t>Test Execution</t>
  </si>
  <si>
    <t>Actual Hours</t>
  </si>
  <si>
    <t>Total</t>
  </si>
  <si>
    <t>Actual Effort (in Hrs) Day 1</t>
  </si>
  <si>
    <t>Actual Effort (in Hrs) Day 2</t>
  </si>
  <si>
    <t>Actual Effort (in Hrs) Day 3</t>
  </si>
  <si>
    <t>Actual Effort (in Hrs) Day 4</t>
  </si>
  <si>
    <t>Actual Effort (in Hrs) Day 5</t>
  </si>
  <si>
    <t xml:space="preserve"> Resource Name</t>
  </si>
  <si>
    <t xml:space="preserve">Planned Effort (in Hrs)  </t>
  </si>
  <si>
    <t>Total Planned Hours</t>
  </si>
  <si>
    <t>S.No</t>
  </si>
  <si>
    <t>Available capacity(in Hrs)</t>
  </si>
  <si>
    <t xml:space="preserve"> Task Planned (in Hrs)</t>
  </si>
  <si>
    <t>Definition of Done (DoD)</t>
  </si>
  <si>
    <t>Design</t>
  </si>
  <si>
    <t>Code Review</t>
  </si>
  <si>
    <t>Unit Testing</t>
  </si>
  <si>
    <t>Project Manager</t>
  </si>
  <si>
    <t>Actual Effort (in Hrs) Day 6</t>
  </si>
  <si>
    <t>High</t>
  </si>
  <si>
    <t>Sprint Plan</t>
  </si>
  <si>
    <t>Actual Effort (in Hrs) Day 7</t>
  </si>
  <si>
    <t>Actual Effort (in Hrs) Day 8</t>
  </si>
  <si>
    <t>Actual Effort (in Hrs) Day 9</t>
  </si>
  <si>
    <t>Actual Effort (in Hrs) Day 10</t>
  </si>
  <si>
    <t>Day 6</t>
  </si>
  <si>
    <t>Day 7</t>
  </si>
  <si>
    <t>Day 8</t>
  </si>
  <si>
    <t>Day 9</t>
  </si>
  <si>
    <t>Day 10</t>
  </si>
  <si>
    <t>Version No</t>
  </si>
  <si>
    <t>Reason For Changes</t>
  </si>
  <si>
    <t>Author</t>
  </si>
  <si>
    <t>Reviewer</t>
  </si>
  <si>
    <t>Approver</t>
  </si>
  <si>
    <t>Dependencies</t>
  </si>
  <si>
    <t>Project Name/ID</t>
  </si>
  <si>
    <r>
      <t xml:space="preserve">It is metric that compares actual and expected progress and shows whether the team is ahead or behind the expectations. 
</t>
    </r>
    <r>
      <rPr>
        <sz val="10"/>
        <color theme="8"/>
        <rFont val="Bookman Old Style"/>
        <family val="1"/>
      </rPr>
      <t xml:space="preserve">( Provide inference based on the chart)
</t>
    </r>
    <r>
      <rPr>
        <sz val="10"/>
        <rFont val="Bookman Old Style"/>
        <family val="1"/>
      </rPr>
      <t xml:space="preserve">
</t>
    </r>
  </si>
  <si>
    <t>Scrum Team ID</t>
  </si>
  <si>
    <t>Draft</t>
  </si>
  <si>
    <t>Saravana kumar M</t>
  </si>
  <si>
    <t>SARAVANA KUMAR M</t>
  </si>
  <si>
    <t>NOVPHILSCR</t>
  </si>
  <si>
    <t>NIJANTHAN PL</t>
  </si>
  <si>
    <t>MUTHURAJA</t>
  </si>
  <si>
    <t>VINOTHINI</t>
  </si>
  <si>
    <t>Design Review</t>
  </si>
  <si>
    <t xml:space="preserve">Coding </t>
  </si>
  <si>
    <t>Unit Test Preparation</t>
  </si>
  <si>
    <t>Unit Test Review</t>
  </si>
  <si>
    <t>Test Case Review</t>
  </si>
  <si>
    <t>NAGE GOWDA</t>
  </si>
  <si>
    <t>Need to complete all the taken user stories and deployed in live on time.</t>
  </si>
  <si>
    <t>SANKAR GANESH</t>
  </si>
  <si>
    <t>Reviewed</t>
  </si>
  <si>
    <t>Sankar Ganesh</t>
  </si>
  <si>
    <t>Baselined</t>
  </si>
  <si>
    <t>NOVPHILSCR-1994</t>
  </si>
  <si>
    <t>NOVPHILSCR-2027</t>
  </si>
  <si>
    <t>VENKATALAKSHMI</t>
  </si>
  <si>
    <t>DHANALAKSHMI</t>
  </si>
  <si>
    <t>ANURAG KUMAR</t>
  </si>
  <si>
    <t>NOVPHILSCR-2168</t>
  </si>
  <si>
    <t>NOVPHILSCR-2104</t>
  </si>
  <si>
    <t>NOVPHILSCR-2005</t>
  </si>
  <si>
    <t>RAVI RAJ</t>
  </si>
  <si>
    <t>Medium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</si>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</sst>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theme="1"/>
      <name val="Bookman Old Style"/>
      <family val="1"/>
    </font>
    <font>
      <u/>
      <sz val="11"/>
      <color theme="1"/>
      <name val="Bookman Old Style"/>
      <family val="1"/>
    </font>
    <font>
      <sz val="11"/>
      <name val="Bookman Old Style"/>
      <family val="1"/>
    </font>
    <font>
      <sz val="11"/>
      <color theme="0" tint="-0.34998626667073579"/>
      <name val="Bookman Old Style"/>
      <family val="1"/>
    </font>
    <font>
      <b/>
      <sz val="11"/>
      <color theme="0"/>
      <name val="Bookman Old Style"/>
      <family val="1"/>
    </font>
    <font>
      <b/>
      <sz val="11"/>
      <color indexed="9"/>
      <name val="Bookman Old Style"/>
      <family val="1"/>
    </font>
    <font>
      <sz val="8"/>
      <color indexed="22"/>
      <name val="Bookman Old Style"/>
      <family val="1"/>
    </font>
    <font>
      <b/>
      <sz val="10"/>
      <color theme="1"/>
      <name val="Bookman Old Style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theme="1"/>
      <name val="Bookman Old Style"/>
      <family val="1"/>
    </font>
    <font>
      <sz val="10"/>
      <color theme="0" tint="-0.34998626667073579"/>
      <name val="Bookman Old Style"/>
      <family val="1"/>
    </font>
    <font>
      <sz val="9"/>
      <color theme="0" tint="-0.34998626667073579"/>
      <name val="Bookman Old Style"/>
      <family val="1"/>
    </font>
    <font>
      <sz val="8"/>
      <color theme="0" tint="-0.34998626667073579"/>
      <name val="Bookman Old Style"/>
      <family val="1"/>
    </font>
    <font>
      <b/>
      <sz val="10"/>
      <color theme="0"/>
      <name val="Bookman Old Style"/>
      <family val="1"/>
    </font>
    <font>
      <sz val="10"/>
      <color rgb="FF0070C0"/>
      <name val="Bookman Old Style"/>
      <family val="1"/>
    </font>
    <font>
      <sz val="8"/>
      <name val="Bookman Old Style"/>
      <family val="1"/>
    </font>
    <font>
      <sz val="11"/>
      <color theme="0"/>
      <name val="Bookman Old Style"/>
      <family val="1"/>
    </font>
    <font>
      <sz val="10"/>
      <color rgb="FF333333"/>
      <name val="Bookman Old Style"/>
      <family val="1"/>
    </font>
    <font>
      <sz val="10"/>
      <color theme="8"/>
      <name val="Bookman Old Style"/>
      <family val="1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0" tint="-0.14999847407452621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95">
    <xf numFmtId="0" fontId="0" fillId="0" borderId="0" xfId="0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Border="1" applyAlignment="1">
      <alignment horizontal="center"/>
    </xf>
    <xf numFmtId="0" fontId="6" fillId="0" borderId="0" xfId="0" applyFont="1" applyAlignment="1"/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horizontal="center"/>
    </xf>
    <xf numFmtId="0" fontId="7" fillId="0" borderId="0" xfId="1" applyFont="1"/>
    <xf numFmtId="0" fontId="7" fillId="3" borderId="0" xfId="1" applyFont="1" applyFill="1"/>
    <xf numFmtId="0" fontId="7" fillId="3" borderId="0" xfId="1" applyFont="1" applyFill="1" applyAlignment="1">
      <alignment horizontal="left" vertical="top"/>
    </xf>
    <xf numFmtId="0" fontId="7" fillId="3" borderId="0" xfId="1" applyFont="1" applyFill="1" applyAlignment="1">
      <alignment horizontal="left" vertical="top" wrapText="1"/>
    </xf>
    <xf numFmtId="0" fontId="7" fillId="0" borderId="0" xfId="1" applyFont="1" applyAlignment="1">
      <alignment vertical="top" wrapText="1"/>
    </xf>
    <xf numFmtId="0" fontId="8" fillId="0" borderId="0" xfId="0" applyFont="1" applyAlignment="1">
      <alignment horizontal="right"/>
    </xf>
    <xf numFmtId="0" fontId="15" fillId="0" borderId="0" xfId="0" applyFont="1" applyBorder="1"/>
    <xf numFmtId="0" fontId="15" fillId="0" borderId="0" xfId="0" applyFont="1"/>
    <xf numFmtId="0" fontId="15" fillId="0" borderId="18" xfId="0" applyFont="1" applyBorder="1"/>
    <xf numFmtId="0" fontId="13" fillId="4" borderId="1" xfId="1" applyFont="1" applyFill="1" applyBorder="1" applyAlignment="1">
      <alignment horizontal="center" vertical="center" wrapText="1"/>
    </xf>
    <xf numFmtId="0" fontId="15" fillId="0" borderId="1" xfId="0" applyFont="1" applyBorder="1"/>
    <xf numFmtId="0" fontId="15" fillId="4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2" fontId="15" fillId="4" borderId="1" xfId="0" applyNumberFormat="1" applyFont="1" applyFill="1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 wrapText="1"/>
    </xf>
    <xf numFmtId="0" fontId="15" fillId="4" borderId="4" xfId="1" applyFont="1" applyFill="1" applyBorder="1" applyAlignment="1">
      <alignment horizontal="center"/>
    </xf>
    <xf numFmtId="0" fontId="15" fillId="4" borderId="1" xfId="1" applyFont="1" applyFill="1" applyBorder="1" applyAlignment="1">
      <alignment horizontal="center"/>
    </xf>
    <xf numFmtId="0" fontId="15" fillId="4" borderId="1" xfId="1" applyFont="1" applyFill="1" applyBorder="1" applyAlignment="1">
      <alignment horizontal="center" wrapText="1"/>
    </xf>
    <xf numFmtId="0" fontId="15" fillId="4" borderId="5" xfId="1" applyFont="1" applyFill="1" applyBorder="1" applyAlignment="1">
      <alignment horizontal="center" wrapText="1"/>
    </xf>
    <xf numFmtId="0" fontId="20" fillId="0" borderId="4" xfId="1" applyFont="1" applyFill="1" applyBorder="1" applyAlignment="1">
      <alignment horizontal="center"/>
    </xf>
    <xf numFmtId="0" fontId="20" fillId="0" borderId="1" xfId="1" applyFont="1" applyFill="1" applyBorder="1" applyAlignment="1">
      <alignment horizontal="center"/>
    </xf>
    <xf numFmtId="0" fontId="20" fillId="0" borderId="1" xfId="1" applyFont="1" applyFill="1" applyBorder="1" applyAlignment="1">
      <alignment horizontal="center" wrapText="1"/>
    </xf>
    <xf numFmtId="0" fontId="20" fillId="0" borderId="5" xfId="1" applyFont="1" applyFill="1" applyBorder="1" applyAlignment="1">
      <alignment horizontal="center" wrapText="1"/>
    </xf>
    <xf numFmtId="0" fontId="20" fillId="0" borderId="4" xfId="1" applyFont="1" applyBorder="1" applyAlignment="1">
      <alignment horizontal="center"/>
    </xf>
    <xf numFmtId="0" fontId="20" fillId="0" borderId="1" xfId="1" applyFont="1" applyBorder="1" applyAlignment="1">
      <alignment horizontal="center"/>
    </xf>
    <xf numFmtId="0" fontId="20" fillId="0" borderId="1" xfId="1" applyFont="1" applyBorder="1" applyAlignment="1">
      <alignment horizontal="center" wrapText="1"/>
    </xf>
    <xf numFmtId="0" fontId="20" fillId="0" borderId="5" xfId="1" applyFont="1" applyBorder="1" applyAlignment="1">
      <alignment horizontal="center" wrapText="1"/>
    </xf>
    <xf numFmtId="0" fontId="12" fillId="2" borderId="6" xfId="1" applyFont="1" applyFill="1" applyBorder="1" applyAlignment="1">
      <alignment horizontal="center"/>
    </xf>
    <xf numFmtId="0" fontId="12" fillId="2" borderId="11" xfId="1" applyFont="1" applyFill="1" applyBorder="1" applyAlignment="1">
      <alignment horizontal="center"/>
    </xf>
    <xf numFmtId="0" fontId="12" fillId="2" borderId="7" xfId="1" applyFont="1" applyFill="1" applyBorder="1" applyAlignment="1">
      <alignment horizontal="center"/>
    </xf>
    <xf numFmtId="0" fontId="21" fillId="3" borderId="0" xfId="1" applyFont="1" applyFill="1"/>
    <xf numFmtId="0" fontId="18" fillId="3" borderId="0" xfId="1" applyFont="1" applyFill="1" applyAlignment="1"/>
    <xf numFmtId="0" fontId="15" fillId="7" borderId="1" xfId="0" applyFont="1" applyFill="1" applyBorder="1"/>
    <xf numFmtId="0" fontId="22" fillId="6" borderId="1" xfId="1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4" fillId="2" borderId="1" xfId="1" applyFont="1" applyFill="1" applyBorder="1" applyAlignment="1">
      <alignment horizontal="left" vertical="top" wrapText="1"/>
    </xf>
    <xf numFmtId="0" fontId="23" fillId="0" borderId="1" xfId="1" applyFont="1" applyBorder="1" applyAlignment="1">
      <alignment horizontal="left" vertical="top" wrapText="1"/>
    </xf>
    <xf numFmtId="164" fontId="13" fillId="0" borderId="1" xfId="0" applyNumberFormat="1" applyFont="1" applyFill="1" applyBorder="1" applyAlignment="1">
      <alignment horizontal="left" wrapText="1"/>
    </xf>
    <xf numFmtId="0" fontId="23" fillId="0" borderId="1" xfId="1" applyFont="1" applyBorder="1" applyAlignment="1">
      <alignment vertical="top" wrapText="1"/>
    </xf>
    <xf numFmtId="0" fontId="15" fillId="0" borderId="1" xfId="1" applyFont="1" applyBorder="1" applyAlignment="1">
      <alignment horizontal="left" wrapText="1"/>
    </xf>
    <xf numFmtId="15" fontId="23" fillId="0" borderId="1" xfId="1" applyNumberFormat="1" applyFont="1" applyBorder="1" applyAlignment="1">
      <alignment horizontal="left" vertical="top" wrapText="1"/>
    </xf>
    <xf numFmtId="0" fontId="13" fillId="8" borderId="1" xfId="0" applyFont="1" applyFill="1" applyBorder="1" applyAlignment="1">
      <alignment horizontal="center"/>
    </xf>
    <xf numFmtId="2" fontId="13" fillId="8" borderId="1" xfId="0" applyNumberFormat="1" applyFont="1" applyFill="1" applyBorder="1" applyAlignment="1">
      <alignment horizontal="center"/>
    </xf>
    <xf numFmtId="14" fontId="12" fillId="0" borderId="8" xfId="0" applyNumberFormat="1" applyFont="1" applyFill="1" applyBorder="1" applyAlignment="1">
      <alignment horizontal="center" vertical="center" wrapText="1"/>
    </xf>
    <xf numFmtId="0" fontId="23" fillId="0" borderId="1" xfId="1" quotePrefix="1" applyFont="1" applyFill="1" applyBorder="1" applyAlignment="1">
      <alignment horizontal="left" vertical="top" wrapText="1"/>
    </xf>
    <xf numFmtId="15" fontId="23" fillId="0" borderId="1" xfId="1" applyNumberFormat="1" applyFont="1" applyFill="1" applyBorder="1" applyAlignment="1">
      <alignment horizontal="left" vertical="top" wrapText="1"/>
    </xf>
    <xf numFmtId="0" fontId="23" fillId="0" borderId="1" xfId="1" applyFont="1" applyFill="1" applyBorder="1" applyAlignment="1">
      <alignment horizontal="left" vertical="top" wrapText="1"/>
    </xf>
    <xf numFmtId="0" fontId="15" fillId="0" borderId="1" xfId="0" applyFont="1" applyBorder="1" applyAlignment="1">
      <alignment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5" fillId="0" borderId="18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15" fillId="7" borderId="1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1" fillId="0" borderId="0" xfId="0" applyFont="1" applyBorder="1" applyAlignment="1">
      <alignment horizontal="right"/>
    </xf>
    <xf numFmtId="0" fontId="11" fillId="0" borderId="18" xfId="0" applyFont="1" applyBorder="1" applyAlignment="1">
      <alignment horizontal="right"/>
    </xf>
    <xf numFmtId="0" fontId="12" fillId="0" borderId="0" xfId="0" applyFont="1" applyAlignment="1">
      <alignment horizontal="left"/>
    </xf>
    <xf numFmtId="0" fontId="15" fillId="0" borderId="9" xfId="0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15" fillId="0" borderId="9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/>
    </xf>
    <xf numFmtId="0" fontId="17" fillId="0" borderId="0" xfId="0" applyFont="1" applyBorder="1" applyAlignment="1">
      <alignment horizontal="right"/>
    </xf>
    <xf numFmtId="0" fontId="17" fillId="0" borderId="18" xfId="0" applyFont="1" applyBorder="1" applyAlignment="1">
      <alignment horizontal="right"/>
    </xf>
    <xf numFmtId="0" fontId="10" fillId="5" borderId="0" xfId="1" applyFont="1" applyFill="1" applyBorder="1" applyAlignment="1">
      <alignment horizontal="center" vertical="center" wrapText="1"/>
    </xf>
    <xf numFmtId="0" fontId="9" fillId="5" borderId="2" xfId="1" applyFont="1" applyFill="1" applyBorder="1" applyAlignment="1">
      <alignment horizontal="center" vertical="center" wrapText="1"/>
    </xf>
    <xf numFmtId="0" fontId="9" fillId="5" borderId="10" xfId="1" applyFont="1" applyFill="1" applyBorder="1" applyAlignment="1">
      <alignment horizontal="center" vertical="center" wrapText="1"/>
    </xf>
    <xf numFmtId="0" fontId="9" fillId="5" borderId="3" xfId="1" applyFont="1" applyFill="1" applyBorder="1" applyAlignment="1">
      <alignment horizontal="center" vertical="center" wrapText="1"/>
    </xf>
    <xf numFmtId="0" fontId="9" fillId="5" borderId="16" xfId="1" applyFont="1" applyFill="1" applyBorder="1" applyAlignment="1">
      <alignment horizontal="center" vertical="center" wrapText="1"/>
    </xf>
    <xf numFmtId="0" fontId="9" fillId="5" borderId="0" xfId="1" applyFont="1" applyFill="1" applyBorder="1" applyAlignment="1">
      <alignment horizontal="center" vertical="center" wrapText="1"/>
    </xf>
    <xf numFmtId="0" fontId="13" fillId="0" borderId="14" xfId="1" applyFont="1" applyBorder="1" applyAlignment="1">
      <alignment horizontal="left" vertical="top" wrapText="1"/>
    </xf>
    <xf numFmtId="0" fontId="13" fillId="0" borderId="15" xfId="1" applyFont="1" applyBorder="1" applyAlignment="1">
      <alignment horizontal="left" vertical="top" wrapText="1"/>
    </xf>
    <xf numFmtId="0" fontId="13" fillId="0" borderId="13" xfId="1" applyFont="1" applyBorder="1" applyAlignment="1">
      <alignment horizontal="left" vertical="top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colors>
    <mruColors>
      <color rgb="FFBFBFBF"/>
      <color rgb="FF4472C4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Sprint Burndown Chart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'Sprint Burndown chart'!$F$8</c:f>
              <c:strCache>
                <c:ptCount val="1"/>
                <c:pt idx="0">
                  <c:v>Actual Effort Burnt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'Sprint Burndown chart'!$C$9:$C$19</c:f>
              <c:strCache>
                <c:ptCount val="11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  <c:pt idx="7">
                  <c:v>Day 7</c:v>
                </c:pt>
                <c:pt idx="8">
                  <c:v>Day 8</c:v>
                </c:pt>
                <c:pt idx="9">
                  <c:v>Day 9</c:v>
                </c:pt>
                <c:pt idx="10">
                  <c:v>Day 10</c:v>
                </c:pt>
              </c:strCache>
            </c:strRef>
          </c:cat>
          <c:val>
            <c:numRef>
              <c:f>'Sprint Burndown chart'!$F$9:$F$19</c:f>
              <c:numCache>
                <c:formatCode>General</c:formatCode>
                <c:ptCount val="11"/>
                <c:pt idx="1">
                  <c:v>254</c:v>
                </c:pt>
                <c:pt idx="2">
                  <c:v>212.5</c:v>
                </c:pt>
                <c:pt idx="3">
                  <c:v>181.5</c:v>
                </c:pt>
                <c:pt idx="4">
                  <c:v>162.5</c:v>
                </c:pt>
                <c:pt idx="5">
                  <c:v>146</c:v>
                </c:pt>
                <c:pt idx="6">
                  <c:v>123.5</c:v>
                </c:pt>
                <c:pt idx="7">
                  <c:v>95.5</c:v>
                </c:pt>
                <c:pt idx="8">
                  <c:v>76.5</c:v>
                </c:pt>
                <c:pt idx="9">
                  <c:v>53.5</c:v>
                </c:pt>
                <c:pt idx="10">
                  <c:v>41.5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B0-4708-8919-B39009CCC028}"/>
            </c:ext>
          </c:extLst>
        </c:ser>
        <c:ser>
          <c:idx val="2"/>
          <c:order val="2"/>
          <c:tx>
            <c:strRef>
              <c:f>'Sprint Burndown chart'!$D$8</c:f>
              <c:strCache>
                <c:ptCount val="1"/>
                <c:pt idx="0">
                  <c:v>Total Planned Hours</c:v>
                </c:pt>
              </c:strCache>
            </c:strRef>
          </c:tx>
          <c:val>
            <c:numRef>
              <c:f>'Sprint Burndown chart'!$D$9:$D$19</c:f>
              <c:numCache>
                <c:formatCode>General</c:formatCode>
                <c:ptCount val="11"/>
                <c:pt idx="0">
                  <c:v>282</c:v>
                </c:pt>
                <c:pt idx="1">
                  <c:v>242</c:v>
                </c:pt>
                <c:pt idx="2">
                  <c:v>202</c:v>
                </c:pt>
                <c:pt idx="3">
                  <c:v>162</c:v>
                </c:pt>
                <c:pt idx="4">
                  <c:v>122</c:v>
                </c:pt>
                <c:pt idx="5">
                  <c:v>82</c:v>
                </c:pt>
                <c:pt idx="6">
                  <c:v>42</c:v>
                </c:pt>
                <c:pt idx="7">
                  <c:v>2</c:v>
                </c:pt>
                <c:pt idx="8">
                  <c:v>-38</c:v>
                </c:pt>
                <c:pt idx="9">
                  <c:v>-78</c:v>
                </c:pt>
                <c:pt idx="10">
                  <c:v>-118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54-4B6B-97A8-081115B99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238523216"/>
        <c:axId val="-123852212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'Sprint Burndown chart'!#REF!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'Sprint Burndown chart'!$C$9:$C$19</c15:sqref>
                        </c15:formulaRef>
                      </c:ext>
                    </c:extLst>
                    <c:strCache>
                      <c:ptCount val="11"/>
                      <c:pt idx="0">
                        <c:v>Day 0</c:v>
                      </c:pt>
                      <c:pt idx="1">
                        <c:v>Day 1</c:v>
                      </c:pt>
                      <c:pt idx="2">
                        <c:v>Day 2</c:v>
                      </c:pt>
                      <c:pt idx="3">
                        <c:v>Day 3</c:v>
                      </c:pt>
                      <c:pt idx="4">
                        <c:v>Day 4</c:v>
                      </c:pt>
                      <c:pt idx="5">
                        <c:v>Day 5</c:v>
                      </c:pt>
                      <c:pt idx="6">
                        <c:v>Day 6</c:v>
                      </c:pt>
                      <c:pt idx="7">
                        <c:v>Day 7</c:v>
                      </c:pt>
                      <c:pt idx="8">
                        <c:v>Day 8</c:v>
                      </c:pt>
                      <c:pt idx="9">
                        <c:v>Day 9</c:v>
                      </c:pt>
                      <c:pt idx="10">
                        <c:v>Day 10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'Sprint Burndown chart'!#REF!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3B0-4708-8919-B39009CCC028}"/>
                  </c:ext>
                </c:extLst>
              </c15:ser>
            </c15:filteredLineSeries>
          </c:ext>
        </c:extLst>
      </c:lineChart>
      <c:catAx>
        <c:axId val="-123852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38522128"/>
        <c:crosses val="autoZero"/>
        <c:auto val="1"/>
        <c:lblAlgn val="ctr"/>
        <c:lblOffset val="100"/>
        <c:noMultiLvlLbl val="0"/>
      </c:catAx>
      <c:valAx>
        <c:axId val="-123852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3852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23702</xdr:colOff>
      <xdr:row>0</xdr:row>
      <xdr:rowOff>28577</xdr:rowOff>
    </xdr:from>
    <xdr:to>
      <xdr:col>1</xdr:col>
      <xdr:colOff>0</xdr:colOff>
      <xdr:row>1</xdr:row>
      <xdr:rowOff>92881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02" y="28577"/>
          <a:ext cx="1424098" cy="3405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144</xdr:row>
      <xdr:rowOff>51954</xdr:rowOff>
    </xdr:from>
    <xdr:to>
      <xdr:col>19</xdr:col>
      <xdr:colOff>0</xdr:colOff>
      <xdr:row>144</xdr:row>
      <xdr:rowOff>51954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>
          <a:spLocks noChangeShapeType="1"/>
        </xdr:cNvSpPr>
      </xdr:nvSpPr>
      <xdr:spPr bwMode="auto">
        <a:xfrm>
          <a:off x="173181" y="17216004"/>
          <a:ext cx="18099517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r>
            <a:rPr lang="en-US"/>
            <a:t> </a:t>
          </a:r>
        </a:p>
      </xdr:txBody>
    </xdr:sp>
    <xdr:clientData/>
  </xdr:twoCellAnchor>
  <xdr:twoCellAnchor editAs="oneCell">
    <xdr:from>
      <xdr:col>0</xdr:col>
      <xdr:colOff>0</xdr:colOff>
      <xdr:row>0</xdr:row>
      <xdr:rowOff>23813</xdr:rowOff>
    </xdr:from>
    <xdr:to>
      <xdr:col>0</xdr:col>
      <xdr:colOff>1238250</xdr:colOff>
      <xdr:row>1</xdr:row>
      <xdr:rowOff>124702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407" y="23813"/>
          <a:ext cx="1238250" cy="2976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66453</xdr:colOff>
      <xdr:row>0</xdr:row>
      <xdr:rowOff>0</xdr:rowOff>
    </xdr:from>
    <xdr:to>
      <xdr:col>0</xdr:col>
      <xdr:colOff>1308742</xdr:colOff>
      <xdr:row>1</xdr:row>
      <xdr:rowOff>107286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53" y="0"/>
          <a:ext cx="1242289" cy="29557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800100</xdr:colOff>
      <xdr:row>4</xdr:row>
      <xdr:rowOff>9525</xdr:rowOff>
    </xdr:from>
    <xdr:to>
      <xdr:col>12</xdr:col>
      <xdr:colOff>133350</xdr:colOff>
      <xdr:row>24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</xdr:row>
      <xdr:rowOff>59951</xdr:rowOff>
    </xdr:from>
    <xdr:to>
      <xdr:col>13</xdr:col>
      <xdr:colOff>278130</xdr:colOff>
      <xdr:row>2</xdr:row>
      <xdr:rowOff>59951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>
          <a:spLocks noChangeShapeType="1"/>
        </xdr:cNvSpPr>
      </xdr:nvSpPr>
      <xdr:spPr bwMode="auto">
        <a:xfrm>
          <a:off x="123825" y="383801"/>
          <a:ext cx="11612880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47625</xdr:rowOff>
    </xdr:from>
    <xdr:to>
      <xdr:col>2</xdr:col>
      <xdr:colOff>389428</xdr:colOff>
      <xdr:row>1</xdr:row>
      <xdr:rowOff>140333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594" y="47625"/>
          <a:ext cx="1238250" cy="2976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PRINT/32_SPRINT_35/Sprint%20Plan/NOVPHILSCR_Sprint_35_Sprint-P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Sprint Backlog"/>
      <sheetName val="Sprint Capacity Plan"/>
      <sheetName val="Sprint Burndown chart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38"/>
  <sheetViews>
    <sheetView showGridLines="0" zoomScaleNormal="100" workbookViewId="0">
      <selection activeCell="D10" sqref="D10"/>
    </sheetView>
  </sheetViews>
  <sheetFormatPr defaultColWidth="21.7109375" defaultRowHeight="15" x14ac:dyDescent="0.25"/>
  <cols>
    <col min="1" max="16384" width="21.7109375" style="1"/>
  </cols>
  <sheetData>
    <row r="1" spans="1:255" s="3" customFormat="1" ht="21.75" customHeight="1" x14ac:dyDescent="0.25">
      <c r="A1" s="73" t="s">
        <v>58</v>
      </c>
      <c r="B1" s="73"/>
      <c r="C1" s="73"/>
      <c r="D1" s="73"/>
      <c r="E1" s="73"/>
      <c r="F1" s="73"/>
      <c r="G1" s="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</row>
    <row r="2" spans="1:255" s="3" customFormat="1" ht="9.75" customHeight="1" x14ac:dyDescent="0.25">
      <c r="A2" s="74"/>
      <c r="B2" s="74"/>
      <c r="C2" s="74"/>
      <c r="D2" s="74"/>
      <c r="E2" s="74"/>
      <c r="F2" s="7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</row>
    <row r="3" spans="1:255" s="3" customFormat="1" ht="25.5" customHeight="1" x14ac:dyDescent="0.25">
      <c r="A3" s="75" t="s">
        <v>27</v>
      </c>
      <c r="B3" s="75"/>
      <c r="C3" s="75"/>
      <c r="D3" s="75"/>
      <c r="E3" s="75"/>
      <c r="F3" s="7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</row>
    <row r="4" spans="1:255" s="3" customFormat="1" x14ac:dyDescent="0.25">
      <c r="A4" s="1"/>
      <c r="B4" s="1"/>
      <c r="C4" s="1"/>
      <c r="D4" s="1"/>
      <c r="E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</row>
    <row r="5" spans="1:255" s="3" customFormat="1" x14ac:dyDescent="0.25">
      <c r="A5" s="45" t="s">
        <v>68</v>
      </c>
      <c r="B5" s="45" t="s">
        <v>28</v>
      </c>
      <c r="C5" s="45" t="s">
        <v>69</v>
      </c>
      <c r="D5" s="45" t="s">
        <v>70</v>
      </c>
      <c r="E5" s="45" t="s">
        <v>71</v>
      </c>
      <c r="F5" s="45" t="s">
        <v>72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</row>
    <row r="6" spans="1:255" s="3" customFormat="1" x14ac:dyDescent="0.25">
      <c r="A6" s="54">
        <v>0.01</v>
      </c>
      <c r="B6" s="55">
        <v>45548</v>
      </c>
      <c r="C6" s="56" t="s">
        <v>77</v>
      </c>
      <c r="D6" s="56" t="s">
        <v>78</v>
      </c>
      <c r="E6" s="48"/>
      <c r="F6" s="48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</row>
    <row r="7" spans="1:255" s="3" customFormat="1" x14ac:dyDescent="0.25">
      <c r="A7" s="54">
        <v>0.02</v>
      </c>
      <c r="B7" s="55">
        <v>45551</v>
      </c>
      <c r="C7" s="56" t="s">
        <v>92</v>
      </c>
      <c r="D7" s="56" t="s">
        <v>78</v>
      </c>
      <c r="E7" s="48" t="s">
        <v>93</v>
      </c>
      <c r="F7" s="48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</row>
    <row r="8" spans="1:255" s="3" customFormat="1" x14ac:dyDescent="0.25">
      <c r="A8" s="54">
        <v>1</v>
      </c>
      <c r="B8" s="55">
        <v>45551</v>
      </c>
      <c r="C8" s="56" t="s">
        <v>94</v>
      </c>
      <c r="D8" s="56" t="s">
        <v>78</v>
      </c>
      <c r="E8" s="48" t="s">
        <v>93</v>
      </c>
      <c r="F8" s="48" t="s">
        <v>93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</row>
    <row r="9" spans="1:255" s="3" customFormat="1" ht="15.75" x14ac:dyDescent="0.3">
      <c r="A9" s="46"/>
      <c r="B9" s="47"/>
      <c r="C9" s="46"/>
      <c r="D9" s="49"/>
      <c r="E9" s="46"/>
      <c r="F9" s="48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</row>
    <row r="10" spans="1:255" s="3" customFormat="1" x14ac:dyDescent="0.25">
      <c r="A10" s="46"/>
      <c r="B10" s="50"/>
      <c r="C10" s="46"/>
      <c r="D10" s="46"/>
      <c r="E10" s="46"/>
      <c r="F10" s="48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</row>
    <row r="11" spans="1:255" s="3" customFormat="1" x14ac:dyDescent="0.25">
      <c r="A11" s="46"/>
      <c r="B11" s="50"/>
      <c r="C11" s="46"/>
      <c r="D11" s="46"/>
      <c r="E11" s="46"/>
      <c r="F11" s="48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</row>
    <row r="12" spans="1:255" s="3" customFormat="1" x14ac:dyDescent="0.25">
      <c r="A12" s="46"/>
      <c r="B12" s="50"/>
      <c r="C12" s="46"/>
      <c r="D12" s="46"/>
      <c r="E12" s="46"/>
      <c r="F12" s="46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</row>
    <row r="13" spans="1:255" s="3" customFormat="1" x14ac:dyDescent="0.25">
      <c r="A13" s="7"/>
      <c r="B13" s="15"/>
      <c r="C13" s="15"/>
      <c r="D13" s="15"/>
      <c r="E13" s="15"/>
      <c r="F13" s="15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</row>
    <row r="38" spans="7:7" x14ac:dyDescent="0.25">
      <c r="G38" s="1" t="s">
        <v>33</v>
      </c>
    </row>
  </sheetData>
  <mergeCells count="2">
    <mergeCell ref="A1:F2"/>
    <mergeCell ref="A3:F3"/>
  </mergeCells>
  <pageMargins left="0.7" right="0.7" top="0.75" bottom="0.75" header="0.3" footer="0.3"/>
  <pageSetup orientation="portrait" horizontalDpi="300" verticalDpi="300" r:id="rId1"/>
  <headerFooter>
    <oddHeader xml:space="preserve">&amp;L&amp;"Bookman Old Style,Regular"&amp;10Novac Technology Solutions&amp;R&amp;"Bookman Old Style,Regular"&amp;10Novac  Sprint Plan </oddHeader>
    <oddFooter>&amp;L&amp;"Bookman Old Style,Regular"&amp;10Confidential&amp;C&amp;"Bookman Old Style,Regular"&amp;10Template V. No. 1.00
QMS V. No. 4.00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S68"/>
  <sheetViews>
    <sheetView showGridLines="0" tabSelected="1" zoomScaleNormal="100" workbookViewId="0">
      <selection activeCell="R75" sqref="R75"/>
    </sheetView>
  </sheetViews>
  <sheetFormatPr defaultRowHeight="15" x14ac:dyDescent="0.25"/>
  <cols>
    <col min="1" max="1" width="19.140625" style="3" customWidth="1"/>
    <col min="2" max="2" width="36" style="3" customWidth="1"/>
    <col min="3" max="3" width="19.7109375" style="3" customWidth="1"/>
    <col min="4" max="4" width="25" style="2" customWidth="1"/>
    <col min="5" max="5" width="25.42578125" style="3" customWidth="1"/>
    <col min="6" max="6" width="24.5703125" style="3" customWidth="1"/>
    <col min="7" max="7" width="38.5703125" style="3" bestFit="1" customWidth="1"/>
    <col min="8" max="8" width="22.42578125" style="3" bestFit="1" customWidth="1"/>
    <col min="9" max="9" width="17.85546875" style="6" customWidth="1"/>
    <col min="10" max="10" width="21.7109375" style="6" customWidth="1"/>
    <col min="11" max="18" width="20.42578125" style="6" customWidth="1"/>
    <col min="19" max="19" width="18" style="6" customWidth="1"/>
    <col min="20" max="16384" width="9.140625" style="3"/>
  </cols>
  <sheetData>
    <row r="1" spans="1:19" s="17" customFormat="1" x14ac:dyDescent="0.3">
      <c r="A1" s="16"/>
      <c r="B1" s="16"/>
      <c r="C1" s="16"/>
      <c r="D1" s="66"/>
      <c r="E1" s="16"/>
      <c r="F1" s="16"/>
      <c r="G1" s="16"/>
      <c r="H1" s="16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</row>
    <row r="2" spans="1:19" s="17" customFormat="1" ht="15.75" customHeight="1" x14ac:dyDescent="0.3">
      <c r="A2" s="18"/>
      <c r="B2" s="18"/>
      <c r="C2" s="18"/>
      <c r="D2" s="67"/>
      <c r="E2" s="18"/>
      <c r="F2" s="18"/>
      <c r="G2" s="18"/>
      <c r="H2" s="18"/>
      <c r="I2" s="62"/>
      <c r="J2" s="62"/>
      <c r="K2" s="62"/>
      <c r="L2" s="82" t="s">
        <v>30</v>
      </c>
      <c r="M2" s="82"/>
      <c r="N2" s="82"/>
      <c r="O2" s="82"/>
      <c r="P2" s="82"/>
      <c r="Q2" s="82"/>
      <c r="R2" s="82"/>
      <c r="S2" s="82"/>
    </row>
    <row r="3" spans="1:19" s="17" customFormat="1" x14ac:dyDescent="0.3">
      <c r="D3" s="68"/>
      <c r="I3" s="63"/>
      <c r="J3" s="63"/>
      <c r="K3" s="63"/>
      <c r="L3" s="63"/>
      <c r="M3" s="63"/>
      <c r="N3" s="63"/>
      <c r="O3" s="63"/>
      <c r="P3" s="63"/>
      <c r="Q3" s="63"/>
      <c r="R3" s="63"/>
      <c r="S3" s="70"/>
    </row>
    <row r="4" spans="1:19" s="17" customFormat="1" ht="18.75" customHeight="1" x14ac:dyDescent="0.3">
      <c r="A4" s="43" t="s">
        <v>74</v>
      </c>
      <c r="B4" s="59" t="s">
        <v>80</v>
      </c>
      <c r="C4" s="43" t="s">
        <v>76</v>
      </c>
      <c r="D4" s="59" t="s">
        <v>80</v>
      </c>
      <c r="E4" s="43" t="s">
        <v>2</v>
      </c>
      <c r="F4" s="59" t="s">
        <v>81</v>
      </c>
      <c r="G4" s="43" t="s">
        <v>34</v>
      </c>
      <c r="H4" s="3"/>
      <c r="I4" s="63"/>
      <c r="J4" s="63"/>
      <c r="K4" s="63"/>
      <c r="L4" s="63"/>
      <c r="M4" s="63"/>
      <c r="N4" s="63"/>
      <c r="O4" s="63"/>
      <c r="P4" s="63"/>
      <c r="Q4" s="63"/>
      <c r="R4" s="63"/>
      <c r="S4" s="70"/>
    </row>
    <row r="5" spans="1:19" s="17" customFormat="1" ht="30" x14ac:dyDescent="0.3">
      <c r="A5" s="43" t="s">
        <v>55</v>
      </c>
      <c r="B5" s="59" t="s">
        <v>91</v>
      </c>
      <c r="C5" s="43" t="s">
        <v>35</v>
      </c>
      <c r="D5" s="59">
        <v>36</v>
      </c>
      <c r="E5" s="43" t="s">
        <v>1</v>
      </c>
      <c r="F5" s="58" t="s">
        <v>79</v>
      </c>
      <c r="G5" s="57" t="s">
        <v>90</v>
      </c>
      <c r="H5" s="3"/>
      <c r="I5" s="63"/>
      <c r="J5" s="63"/>
      <c r="K5" s="63"/>
      <c r="L5" s="63"/>
      <c r="M5" s="63"/>
      <c r="N5" s="63"/>
      <c r="O5" s="63"/>
      <c r="P5" s="63"/>
      <c r="Q5" s="63"/>
      <c r="R5" s="63"/>
      <c r="S5" s="70"/>
    </row>
    <row r="6" spans="1:19" s="17" customFormat="1" ht="15.75" x14ac:dyDescent="0.3">
      <c r="A6" s="3"/>
      <c r="B6" s="3"/>
      <c r="C6" s="3"/>
      <c r="D6" s="2"/>
      <c r="E6" s="3"/>
      <c r="F6" s="3"/>
      <c r="G6" s="3"/>
      <c r="H6" s="3"/>
      <c r="I6" s="6"/>
      <c r="J6" s="6"/>
      <c r="K6" s="6"/>
      <c r="L6" s="6"/>
      <c r="M6" s="6"/>
      <c r="N6" s="6"/>
      <c r="O6" s="6"/>
      <c r="P6" s="6"/>
      <c r="Q6" s="6"/>
      <c r="R6" s="63"/>
      <c r="S6" s="70"/>
    </row>
    <row r="7" spans="1:19" s="17" customFormat="1" ht="45" x14ac:dyDescent="0.3">
      <c r="A7" s="19" t="s">
        <v>48</v>
      </c>
      <c r="B7" s="19" t="s">
        <v>15</v>
      </c>
      <c r="C7" s="19" t="s">
        <v>0</v>
      </c>
      <c r="D7" s="19" t="s">
        <v>29</v>
      </c>
      <c r="E7" s="19" t="s">
        <v>73</v>
      </c>
      <c r="F7" s="19" t="s">
        <v>51</v>
      </c>
      <c r="G7" s="19" t="s">
        <v>14</v>
      </c>
      <c r="H7" s="19" t="s">
        <v>45</v>
      </c>
      <c r="I7" s="19" t="s">
        <v>46</v>
      </c>
      <c r="J7" s="19" t="s">
        <v>40</v>
      </c>
      <c r="K7" s="19" t="s">
        <v>41</v>
      </c>
      <c r="L7" s="19" t="s">
        <v>42</v>
      </c>
      <c r="M7" s="19" t="s">
        <v>43</v>
      </c>
      <c r="N7" s="19" t="s">
        <v>44</v>
      </c>
      <c r="O7" s="19" t="s">
        <v>56</v>
      </c>
      <c r="P7" s="19" t="s">
        <v>59</v>
      </c>
      <c r="Q7" s="19" t="s">
        <v>60</v>
      </c>
      <c r="R7" s="19" t="s">
        <v>61</v>
      </c>
      <c r="S7" s="19" t="s">
        <v>62</v>
      </c>
    </row>
    <row r="8" spans="1:19" s="17" customFormat="1" ht="15" hidden="1" customHeight="1" x14ac:dyDescent="0.3">
      <c r="A8" s="79">
        <v>1</v>
      </c>
      <c r="B8" s="79" t="s">
        <v>95</v>
      </c>
      <c r="C8" s="79" t="s">
        <v>57</v>
      </c>
      <c r="D8" s="79">
        <v>8</v>
      </c>
      <c r="E8" s="76"/>
      <c r="F8" s="76"/>
      <c r="G8" s="20" t="s">
        <v>52</v>
      </c>
      <c r="H8" s="20" t="s">
        <v>82</v>
      </c>
      <c r="I8" s="72">
        <v>8</v>
      </c>
      <c r="J8" s="64">
        <v>7</v>
      </c>
      <c r="K8" s="64">
        <v>1</v>
      </c>
      <c r="L8" s="64"/>
      <c r="M8" s="64"/>
      <c r="N8" s="64"/>
      <c r="O8" s="64"/>
      <c r="P8" s="64"/>
      <c r="Q8" s="64"/>
      <c r="R8" s="64"/>
      <c r="S8" s="64"/>
    </row>
    <row r="9" spans="1:19" s="17" customFormat="1" hidden="1" x14ac:dyDescent="0.3">
      <c r="A9" s="80"/>
      <c r="B9" s="80"/>
      <c r="C9" s="80"/>
      <c r="D9" s="80"/>
      <c r="E9" s="77"/>
      <c r="F9" s="77"/>
      <c r="G9" s="20" t="s">
        <v>84</v>
      </c>
      <c r="H9" s="20" t="s">
        <v>98</v>
      </c>
      <c r="I9" s="72">
        <v>2</v>
      </c>
      <c r="J9" s="64"/>
      <c r="K9" s="64"/>
      <c r="L9" s="64"/>
      <c r="M9" s="64"/>
      <c r="N9" s="64"/>
      <c r="O9" s="64"/>
      <c r="P9" s="64"/>
      <c r="Q9" s="64"/>
      <c r="R9" s="64"/>
      <c r="S9" s="64"/>
    </row>
    <row r="10" spans="1:19" s="17" customFormat="1" ht="15" hidden="1" customHeight="1" x14ac:dyDescent="0.3">
      <c r="A10" s="80"/>
      <c r="B10" s="80"/>
      <c r="C10" s="80"/>
      <c r="D10" s="80"/>
      <c r="E10" s="77"/>
      <c r="F10" s="77"/>
      <c r="G10" s="20" t="s">
        <v>85</v>
      </c>
      <c r="H10" s="20" t="s">
        <v>82</v>
      </c>
      <c r="I10" s="72">
        <v>12</v>
      </c>
      <c r="J10" s="64"/>
      <c r="K10" s="64">
        <v>7</v>
      </c>
      <c r="L10" s="64">
        <v>5</v>
      </c>
      <c r="M10" s="64"/>
      <c r="N10" s="64"/>
      <c r="O10" s="64"/>
      <c r="P10" s="64"/>
      <c r="Q10" s="64"/>
      <c r="R10" s="64"/>
      <c r="S10" s="64"/>
    </row>
    <row r="11" spans="1:19" s="17" customFormat="1" hidden="1" x14ac:dyDescent="0.3">
      <c r="A11" s="80"/>
      <c r="B11" s="80"/>
      <c r="C11" s="80"/>
      <c r="D11" s="80"/>
      <c r="E11" s="77"/>
      <c r="F11" s="77"/>
      <c r="G11" s="20" t="s">
        <v>53</v>
      </c>
      <c r="H11" s="20" t="s">
        <v>98</v>
      </c>
      <c r="I11" s="72">
        <v>1</v>
      </c>
      <c r="J11" s="64"/>
      <c r="K11" s="64"/>
      <c r="L11" s="64"/>
      <c r="M11" s="64"/>
      <c r="N11" s="64"/>
      <c r="O11" s="64"/>
      <c r="P11" s="64"/>
      <c r="Q11" s="64"/>
      <c r="R11" s="64"/>
      <c r="S11" s="64"/>
    </row>
    <row r="12" spans="1:19" s="17" customFormat="1" ht="15" hidden="1" customHeight="1" x14ac:dyDescent="0.3">
      <c r="A12" s="80"/>
      <c r="B12" s="80"/>
      <c r="C12" s="80"/>
      <c r="D12" s="80"/>
      <c r="E12" s="77"/>
      <c r="F12" s="77"/>
      <c r="G12" s="20" t="s">
        <v>86</v>
      </c>
      <c r="H12" s="20" t="s">
        <v>82</v>
      </c>
      <c r="I12" s="72">
        <v>5</v>
      </c>
      <c r="J12" s="64"/>
      <c r="K12" s="64"/>
      <c r="L12" s="64">
        <v>2.5</v>
      </c>
      <c r="M12" s="64">
        <v>2.5</v>
      </c>
      <c r="N12" s="64"/>
      <c r="O12" s="64"/>
      <c r="P12" s="64"/>
      <c r="Q12" s="64"/>
      <c r="R12" s="64"/>
      <c r="S12" s="64"/>
    </row>
    <row r="13" spans="1:19" s="17" customFormat="1" hidden="1" x14ac:dyDescent="0.3">
      <c r="A13" s="80"/>
      <c r="B13" s="80"/>
      <c r="C13" s="80"/>
      <c r="D13" s="80"/>
      <c r="E13" s="77"/>
      <c r="F13" s="77"/>
      <c r="G13" s="20" t="s">
        <v>87</v>
      </c>
      <c r="H13" s="20" t="s">
        <v>98</v>
      </c>
      <c r="I13" s="72">
        <v>1</v>
      </c>
      <c r="J13" s="64"/>
      <c r="K13" s="64"/>
      <c r="L13" s="64"/>
      <c r="M13" s="64"/>
      <c r="N13" s="64"/>
      <c r="O13" s="64"/>
      <c r="P13" s="64"/>
      <c r="Q13" s="64"/>
      <c r="R13" s="64"/>
      <c r="S13" s="64"/>
    </row>
    <row r="14" spans="1:19" s="17" customFormat="1" ht="15" hidden="1" customHeight="1" x14ac:dyDescent="0.3">
      <c r="A14" s="80"/>
      <c r="B14" s="80"/>
      <c r="C14" s="80"/>
      <c r="D14" s="80"/>
      <c r="E14" s="77"/>
      <c r="F14" s="77"/>
      <c r="G14" s="20" t="s">
        <v>54</v>
      </c>
      <c r="H14" s="20" t="s">
        <v>82</v>
      </c>
      <c r="I14" s="72">
        <v>5</v>
      </c>
      <c r="J14" s="64"/>
      <c r="K14" s="64"/>
      <c r="L14" s="64"/>
      <c r="M14" s="64">
        <v>5</v>
      </c>
      <c r="N14" s="64"/>
      <c r="O14" s="64"/>
      <c r="P14" s="64"/>
      <c r="Q14" s="64"/>
      <c r="R14" s="64"/>
      <c r="S14" s="64"/>
    </row>
    <row r="15" spans="1:19" s="17" customFormat="1" ht="15" customHeight="1" x14ac:dyDescent="0.3">
      <c r="A15" s="80"/>
      <c r="B15" s="80"/>
      <c r="C15" s="80"/>
      <c r="D15" s="80"/>
      <c r="E15" s="77"/>
      <c r="F15" s="77"/>
      <c r="G15" s="20" t="s">
        <v>36</v>
      </c>
      <c r="H15" s="20" t="s">
        <v>99</v>
      </c>
      <c r="I15" s="72">
        <v>6</v>
      </c>
      <c r="J15" s="64"/>
      <c r="K15" s="64"/>
      <c r="L15" s="64"/>
      <c r="M15" s="64"/>
      <c r="N15" s="64">
        <v>6</v>
      </c>
      <c r="O15" s="64"/>
      <c r="P15" s="64"/>
      <c r="Q15" s="64"/>
      <c r="R15" s="64"/>
      <c r="S15" s="64"/>
    </row>
    <row r="16" spans="1:19" s="17" customFormat="1" hidden="1" x14ac:dyDescent="0.3">
      <c r="A16" s="80"/>
      <c r="B16" s="80"/>
      <c r="C16" s="80"/>
      <c r="D16" s="80"/>
      <c r="E16" s="77"/>
      <c r="F16" s="77"/>
      <c r="G16" s="20" t="s">
        <v>88</v>
      </c>
      <c r="H16" s="20" t="s">
        <v>98</v>
      </c>
      <c r="I16" s="72">
        <v>3</v>
      </c>
      <c r="J16" s="64"/>
      <c r="K16" s="64"/>
      <c r="L16" s="64"/>
      <c r="M16" s="64"/>
      <c r="N16" s="64"/>
      <c r="O16" s="64"/>
      <c r="P16" s="64"/>
      <c r="Q16" s="64"/>
      <c r="R16" s="64"/>
      <c r="S16" s="64"/>
    </row>
    <row r="17" spans="1:19" s="17" customFormat="1" ht="15" customHeight="1" x14ac:dyDescent="0.3">
      <c r="A17" s="81"/>
      <c r="B17" s="81"/>
      <c r="C17" s="81"/>
      <c r="D17" s="81"/>
      <c r="E17" s="78"/>
      <c r="F17" s="78"/>
      <c r="G17" s="20" t="s">
        <v>37</v>
      </c>
      <c r="H17" s="20" t="s">
        <v>99</v>
      </c>
      <c r="I17" s="64">
        <v>8</v>
      </c>
      <c r="J17" s="64"/>
      <c r="K17" s="64"/>
      <c r="L17" s="64"/>
      <c r="M17" s="64"/>
      <c r="N17" s="64"/>
      <c r="O17" s="64"/>
      <c r="P17" s="64"/>
      <c r="Q17" s="64"/>
      <c r="R17" s="64">
        <v>4</v>
      </c>
      <c r="S17" s="64">
        <v>3</v>
      </c>
    </row>
    <row r="18" spans="1:19" s="17" customFormat="1" ht="15" hidden="1" customHeight="1" x14ac:dyDescent="0.3">
      <c r="A18" s="79">
        <v>2</v>
      </c>
      <c r="B18" s="79" t="s">
        <v>96</v>
      </c>
      <c r="C18" s="79" t="s">
        <v>57</v>
      </c>
      <c r="D18" s="79">
        <v>8</v>
      </c>
      <c r="E18" s="76"/>
      <c r="F18" s="76"/>
      <c r="G18" s="20" t="s">
        <v>52</v>
      </c>
      <c r="H18" s="20" t="s">
        <v>97</v>
      </c>
      <c r="I18" s="72">
        <v>8</v>
      </c>
      <c r="J18" s="64">
        <v>3</v>
      </c>
      <c r="K18" s="64">
        <v>3</v>
      </c>
      <c r="L18" s="64">
        <v>2</v>
      </c>
      <c r="M18" s="64"/>
      <c r="N18" s="64"/>
      <c r="O18" s="64"/>
      <c r="P18" s="64"/>
      <c r="Q18" s="64"/>
      <c r="R18" s="64"/>
      <c r="S18" s="64"/>
    </row>
    <row r="19" spans="1:19" s="17" customFormat="1" hidden="1" x14ac:dyDescent="0.3">
      <c r="A19" s="80"/>
      <c r="B19" s="80"/>
      <c r="C19" s="80"/>
      <c r="D19" s="80"/>
      <c r="E19" s="77"/>
      <c r="F19" s="77"/>
      <c r="G19" s="20" t="s">
        <v>84</v>
      </c>
      <c r="H19" s="20" t="s">
        <v>98</v>
      </c>
      <c r="I19" s="72">
        <v>2</v>
      </c>
      <c r="J19" s="64"/>
      <c r="K19" s="64"/>
      <c r="L19" s="64"/>
      <c r="M19" s="64"/>
      <c r="N19" s="64"/>
      <c r="O19" s="64"/>
      <c r="P19" s="64"/>
      <c r="Q19" s="64"/>
      <c r="R19" s="64"/>
      <c r="S19" s="64"/>
    </row>
    <row r="20" spans="1:19" s="17" customFormat="1" ht="15" hidden="1" customHeight="1" x14ac:dyDescent="0.3">
      <c r="A20" s="80"/>
      <c r="B20" s="80"/>
      <c r="C20" s="80"/>
      <c r="D20" s="80"/>
      <c r="E20" s="77"/>
      <c r="F20" s="77"/>
      <c r="G20" s="20" t="s">
        <v>85</v>
      </c>
      <c r="H20" s="20" t="s">
        <v>97</v>
      </c>
      <c r="I20" s="72">
        <v>12</v>
      </c>
      <c r="J20" s="64">
        <v>4.5</v>
      </c>
      <c r="K20" s="60">
        <v>4.5</v>
      </c>
      <c r="L20" s="60">
        <v>3</v>
      </c>
      <c r="M20" s="64"/>
      <c r="N20" s="60"/>
      <c r="O20" s="64"/>
      <c r="P20" s="64"/>
      <c r="Q20" s="64"/>
      <c r="R20" s="64"/>
      <c r="S20" s="64"/>
    </row>
    <row r="21" spans="1:19" s="17" customFormat="1" hidden="1" x14ac:dyDescent="0.3">
      <c r="A21" s="80"/>
      <c r="B21" s="80"/>
      <c r="C21" s="80"/>
      <c r="D21" s="80"/>
      <c r="E21" s="77"/>
      <c r="F21" s="77"/>
      <c r="G21" s="20" t="s">
        <v>53</v>
      </c>
      <c r="H21" s="20" t="s">
        <v>98</v>
      </c>
      <c r="I21" s="72">
        <v>1</v>
      </c>
      <c r="J21" s="60"/>
      <c r="K21" s="60"/>
      <c r="L21" s="60"/>
      <c r="M21" s="64"/>
      <c r="N21" s="60"/>
      <c r="O21" s="60"/>
      <c r="P21" s="60"/>
      <c r="Q21" s="60"/>
      <c r="R21" s="60"/>
      <c r="S21" s="60"/>
    </row>
    <row r="22" spans="1:19" s="17" customFormat="1" ht="15" hidden="1" customHeight="1" x14ac:dyDescent="0.3">
      <c r="A22" s="80"/>
      <c r="B22" s="80"/>
      <c r="C22" s="80"/>
      <c r="D22" s="80"/>
      <c r="E22" s="77"/>
      <c r="F22" s="77"/>
      <c r="G22" s="20" t="s">
        <v>86</v>
      </c>
      <c r="H22" s="20" t="s">
        <v>97</v>
      </c>
      <c r="I22" s="72">
        <v>5</v>
      </c>
      <c r="J22" s="60"/>
      <c r="K22" s="60"/>
      <c r="L22" s="60">
        <v>2.5</v>
      </c>
      <c r="M22" s="60"/>
      <c r="N22" s="60"/>
      <c r="O22" s="60"/>
      <c r="P22" s="60">
        <v>2.5</v>
      </c>
      <c r="Q22" s="60"/>
      <c r="R22" s="20"/>
      <c r="S22" s="20"/>
    </row>
    <row r="23" spans="1:19" s="17" customFormat="1" hidden="1" x14ac:dyDescent="0.3">
      <c r="A23" s="80"/>
      <c r="B23" s="80"/>
      <c r="C23" s="80"/>
      <c r="D23" s="80"/>
      <c r="E23" s="77"/>
      <c r="F23" s="77"/>
      <c r="G23" s="20" t="s">
        <v>87</v>
      </c>
      <c r="H23" s="20" t="s">
        <v>98</v>
      </c>
      <c r="I23" s="72">
        <v>1</v>
      </c>
      <c r="J23" s="60"/>
      <c r="K23" s="60"/>
      <c r="L23" s="60"/>
      <c r="M23" s="60"/>
      <c r="N23" s="60"/>
      <c r="O23" s="60"/>
      <c r="P23" s="60"/>
      <c r="Q23" s="60"/>
      <c r="R23" s="60"/>
      <c r="S23" s="60"/>
    </row>
    <row r="24" spans="1:19" s="17" customFormat="1" ht="15" hidden="1" customHeight="1" x14ac:dyDescent="0.3">
      <c r="A24" s="80"/>
      <c r="B24" s="80"/>
      <c r="C24" s="80"/>
      <c r="D24" s="80"/>
      <c r="E24" s="77"/>
      <c r="F24" s="77"/>
      <c r="G24" s="20" t="s">
        <v>54</v>
      </c>
      <c r="H24" s="20" t="s">
        <v>97</v>
      </c>
      <c r="I24" s="72">
        <v>5</v>
      </c>
      <c r="J24" s="60"/>
      <c r="K24" s="60"/>
      <c r="L24" s="60"/>
      <c r="M24" s="60">
        <v>2.5</v>
      </c>
      <c r="N24" s="60">
        <v>2.5</v>
      </c>
      <c r="O24" s="60"/>
      <c r="P24" s="60"/>
      <c r="Q24" s="60"/>
      <c r="R24" s="60"/>
      <c r="S24" s="60"/>
    </row>
    <row r="25" spans="1:19" s="17" customFormat="1" ht="15" hidden="1" customHeight="1" x14ac:dyDescent="0.3">
      <c r="A25" s="80"/>
      <c r="B25" s="80"/>
      <c r="C25" s="80"/>
      <c r="D25" s="80"/>
      <c r="E25" s="77"/>
      <c r="F25" s="77"/>
      <c r="G25" s="20" t="s">
        <v>36</v>
      </c>
      <c r="H25" s="20" t="s">
        <v>83</v>
      </c>
      <c r="I25" s="72">
        <v>6</v>
      </c>
      <c r="J25" s="60"/>
      <c r="K25" s="60"/>
      <c r="L25" s="60"/>
      <c r="M25" s="60"/>
      <c r="N25" s="60"/>
      <c r="O25" s="60"/>
      <c r="P25" s="60"/>
      <c r="Q25" s="60"/>
      <c r="R25" s="60"/>
      <c r="S25" s="60"/>
    </row>
    <row r="26" spans="1:19" s="17" customFormat="1" hidden="1" x14ac:dyDescent="0.3">
      <c r="A26" s="80"/>
      <c r="B26" s="80"/>
      <c r="C26" s="80"/>
      <c r="D26" s="80"/>
      <c r="E26" s="77"/>
      <c r="F26" s="77"/>
      <c r="G26" s="20" t="s">
        <v>88</v>
      </c>
      <c r="H26" s="20" t="s">
        <v>98</v>
      </c>
      <c r="I26" s="72">
        <v>3</v>
      </c>
      <c r="J26" s="60"/>
      <c r="K26" s="60"/>
      <c r="L26" s="60"/>
      <c r="M26" s="60"/>
      <c r="N26" s="60"/>
      <c r="O26" s="60"/>
      <c r="P26" s="60"/>
      <c r="Q26" s="60"/>
      <c r="R26" s="60"/>
      <c r="S26" s="60"/>
    </row>
    <row r="27" spans="1:19" s="17" customFormat="1" ht="15" hidden="1" customHeight="1" x14ac:dyDescent="0.3">
      <c r="A27" s="81"/>
      <c r="B27" s="81"/>
      <c r="C27" s="81"/>
      <c r="D27" s="81"/>
      <c r="E27" s="78"/>
      <c r="F27" s="78"/>
      <c r="G27" s="20" t="s">
        <v>37</v>
      </c>
      <c r="H27" s="20" t="s">
        <v>83</v>
      </c>
      <c r="I27" s="64">
        <v>7</v>
      </c>
      <c r="J27" s="60"/>
      <c r="K27" s="60"/>
      <c r="L27" s="60"/>
      <c r="M27" s="60"/>
      <c r="N27" s="60"/>
      <c r="O27" s="60"/>
      <c r="P27" s="60"/>
      <c r="Q27" s="60"/>
      <c r="R27" s="60"/>
      <c r="S27" s="60"/>
    </row>
    <row r="28" spans="1:19" s="17" customFormat="1" ht="15" hidden="1" customHeight="1" x14ac:dyDescent="0.3">
      <c r="A28" s="79">
        <v>3</v>
      </c>
      <c r="B28" s="79" t="s">
        <v>101</v>
      </c>
      <c r="C28" s="79" t="s">
        <v>57</v>
      </c>
      <c r="D28" s="79">
        <v>8</v>
      </c>
      <c r="E28" s="76"/>
      <c r="F28" s="76"/>
      <c r="G28" s="20" t="s">
        <v>52</v>
      </c>
      <c r="H28" s="20" t="s">
        <v>89</v>
      </c>
      <c r="I28" s="72">
        <v>8</v>
      </c>
      <c r="J28" s="72">
        <v>3</v>
      </c>
      <c r="K28" s="72">
        <v>3</v>
      </c>
      <c r="L28" s="72">
        <v>2</v>
      </c>
      <c r="M28" s="72"/>
      <c r="N28" s="72"/>
      <c r="O28" s="72"/>
      <c r="P28" s="72"/>
      <c r="Q28" s="72"/>
      <c r="R28" s="72"/>
      <c r="S28" s="72"/>
    </row>
    <row r="29" spans="1:19" s="17" customFormat="1" hidden="1" x14ac:dyDescent="0.3">
      <c r="A29" s="80"/>
      <c r="B29" s="80"/>
      <c r="C29" s="80"/>
      <c r="D29" s="80"/>
      <c r="E29" s="77"/>
      <c r="F29" s="77"/>
      <c r="G29" s="20" t="s">
        <v>84</v>
      </c>
      <c r="H29" s="20" t="s">
        <v>98</v>
      </c>
      <c r="I29" s="72">
        <v>1</v>
      </c>
      <c r="J29" s="72"/>
      <c r="K29" s="72"/>
      <c r="L29" s="72"/>
      <c r="M29" s="72"/>
      <c r="N29" s="72"/>
      <c r="O29" s="72"/>
      <c r="P29" s="72"/>
      <c r="Q29" s="72"/>
      <c r="R29" s="72"/>
      <c r="S29" s="72"/>
    </row>
    <row r="30" spans="1:19" s="17" customFormat="1" ht="15" hidden="1" customHeight="1" x14ac:dyDescent="0.3">
      <c r="A30" s="80"/>
      <c r="B30" s="80"/>
      <c r="C30" s="80"/>
      <c r="D30" s="80"/>
      <c r="E30" s="77"/>
      <c r="F30" s="77"/>
      <c r="G30" s="20" t="s">
        <v>85</v>
      </c>
      <c r="H30" s="20" t="s">
        <v>89</v>
      </c>
      <c r="I30" s="72">
        <v>12</v>
      </c>
      <c r="J30" s="72">
        <v>4</v>
      </c>
      <c r="K30" s="72">
        <v>4</v>
      </c>
      <c r="L30" s="72">
        <v>4</v>
      </c>
      <c r="M30" s="72"/>
      <c r="N30" s="72"/>
      <c r="O30" s="72"/>
      <c r="P30" s="72"/>
      <c r="Q30" s="72"/>
      <c r="R30" s="72"/>
      <c r="S30" s="72"/>
    </row>
    <row r="31" spans="1:19" s="17" customFormat="1" hidden="1" x14ac:dyDescent="0.3">
      <c r="A31" s="80"/>
      <c r="B31" s="80"/>
      <c r="C31" s="80"/>
      <c r="D31" s="80"/>
      <c r="E31" s="77"/>
      <c r="F31" s="77"/>
      <c r="G31" s="20" t="s">
        <v>53</v>
      </c>
      <c r="H31" s="20" t="s">
        <v>98</v>
      </c>
      <c r="I31" s="72">
        <v>1</v>
      </c>
      <c r="J31" s="72"/>
      <c r="K31" s="72"/>
      <c r="L31" s="72"/>
      <c r="M31" s="72"/>
      <c r="N31" s="72"/>
      <c r="O31" s="72"/>
      <c r="P31" s="72"/>
      <c r="Q31" s="72"/>
      <c r="R31" s="72"/>
      <c r="S31" s="72"/>
    </row>
    <row r="32" spans="1:19" s="17" customFormat="1" ht="15" hidden="1" customHeight="1" x14ac:dyDescent="0.3">
      <c r="A32" s="80"/>
      <c r="B32" s="80"/>
      <c r="C32" s="80"/>
      <c r="D32" s="80"/>
      <c r="E32" s="77"/>
      <c r="F32" s="77"/>
      <c r="G32" s="20" t="s">
        <v>86</v>
      </c>
      <c r="H32" s="20" t="s">
        <v>89</v>
      </c>
      <c r="I32" s="72">
        <v>5</v>
      </c>
      <c r="J32" s="72"/>
      <c r="K32" s="72"/>
      <c r="L32" s="72"/>
      <c r="M32" s="72"/>
      <c r="N32" s="72"/>
      <c r="O32" s="72">
        <v>5</v>
      </c>
      <c r="P32" s="72"/>
      <c r="Q32" s="72"/>
      <c r="R32" s="72"/>
      <c r="S32" s="72"/>
    </row>
    <row r="33" spans="1:19" s="17" customFormat="1" hidden="1" x14ac:dyDescent="0.3">
      <c r="A33" s="80"/>
      <c r="B33" s="80"/>
      <c r="C33" s="80"/>
      <c r="D33" s="80"/>
      <c r="E33" s="77"/>
      <c r="F33" s="77"/>
      <c r="G33" s="20" t="s">
        <v>87</v>
      </c>
      <c r="H33" s="20" t="s">
        <v>98</v>
      </c>
      <c r="I33" s="72">
        <v>1</v>
      </c>
      <c r="J33" s="72"/>
      <c r="K33" s="72"/>
      <c r="L33" s="72"/>
      <c r="M33" s="72"/>
      <c r="N33" s="72"/>
      <c r="O33" s="72"/>
      <c r="P33" s="72"/>
      <c r="Q33" s="72"/>
      <c r="R33" s="72"/>
      <c r="S33" s="72"/>
    </row>
    <row r="34" spans="1:19" s="17" customFormat="1" ht="15" hidden="1" customHeight="1" x14ac:dyDescent="0.3">
      <c r="A34" s="80"/>
      <c r="B34" s="80"/>
      <c r="C34" s="80"/>
      <c r="D34" s="80"/>
      <c r="E34" s="77"/>
      <c r="F34" s="77"/>
      <c r="G34" s="20" t="s">
        <v>54</v>
      </c>
      <c r="H34" s="20" t="s">
        <v>89</v>
      </c>
      <c r="I34" s="72">
        <v>5</v>
      </c>
      <c r="J34" s="72"/>
      <c r="K34" s="72"/>
      <c r="L34" s="72"/>
      <c r="M34" s="72"/>
      <c r="N34" s="72"/>
      <c r="O34" s="72"/>
      <c r="P34" s="72">
        <v>5</v>
      </c>
      <c r="Q34" s="72"/>
      <c r="R34" s="72"/>
      <c r="S34" s="72"/>
    </row>
    <row r="35" spans="1:19" s="17" customFormat="1" ht="15" customHeight="1" x14ac:dyDescent="0.3">
      <c r="A35" s="80"/>
      <c r="B35" s="80"/>
      <c r="C35" s="80"/>
      <c r="D35" s="80"/>
      <c r="E35" s="77"/>
      <c r="F35" s="77"/>
      <c r="G35" s="20" t="s">
        <v>36</v>
      </c>
      <c r="H35" s="20" t="s">
        <v>103</v>
      </c>
      <c r="I35" s="72">
        <v>8</v>
      </c>
      <c r="J35" s="72">
        <v>3</v>
      </c>
      <c r="K35" s="72">
        <v>2.5</v>
      </c>
      <c r="L35" s="72">
        <v>2.5</v>
      </c>
      <c r="M35" s="72"/>
      <c r="N35" s="72"/>
      <c r="O35" s="72"/>
      <c r="P35" s="72"/>
      <c r="Q35" s="72"/>
      <c r="R35" s="72"/>
      <c r="S35" s="72"/>
    </row>
    <row r="36" spans="1:19" s="17" customFormat="1" hidden="1" x14ac:dyDescent="0.3">
      <c r="A36" s="80"/>
      <c r="B36" s="80"/>
      <c r="C36" s="80"/>
      <c r="D36" s="80"/>
      <c r="E36" s="77"/>
      <c r="F36" s="77"/>
      <c r="G36" s="20" t="s">
        <v>88</v>
      </c>
      <c r="H36" s="20" t="s">
        <v>98</v>
      </c>
      <c r="I36" s="72">
        <v>2</v>
      </c>
      <c r="J36" s="72"/>
      <c r="K36" s="72"/>
      <c r="L36" s="72"/>
      <c r="M36" s="72"/>
      <c r="N36" s="72"/>
      <c r="O36" s="72"/>
      <c r="P36" s="72"/>
      <c r="Q36" s="72"/>
      <c r="R36" s="72"/>
      <c r="S36" s="72"/>
    </row>
    <row r="37" spans="1:19" s="17" customFormat="1" ht="15" customHeight="1" x14ac:dyDescent="0.3">
      <c r="A37" s="81"/>
      <c r="B37" s="81"/>
      <c r="C37" s="81"/>
      <c r="D37" s="81"/>
      <c r="E37" s="78"/>
      <c r="F37" s="78"/>
      <c r="G37" s="20" t="s">
        <v>37</v>
      </c>
      <c r="H37" s="20" t="s">
        <v>103</v>
      </c>
      <c r="I37" s="64">
        <v>8</v>
      </c>
      <c r="J37" s="72"/>
      <c r="K37" s="72"/>
      <c r="L37" s="72"/>
      <c r="M37" s="72"/>
      <c r="N37" s="72"/>
      <c r="O37" s="72"/>
      <c r="P37" s="72">
        <v>3.5</v>
      </c>
      <c r="Q37" s="72">
        <v>4.5</v>
      </c>
      <c r="R37" s="72"/>
      <c r="S37" s="72"/>
    </row>
    <row r="38" spans="1:19" s="17" customFormat="1" ht="15" hidden="1" customHeight="1" x14ac:dyDescent="0.3">
      <c r="A38" s="79">
        <v>4</v>
      </c>
      <c r="B38" s="79" t="s">
        <v>102</v>
      </c>
      <c r="C38" s="79" t="s">
        <v>104</v>
      </c>
      <c r="D38" s="79">
        <v>5</v>
      </c>
      <c r="E38" s="76"/>
      <c r="F38" s="76"/>
      <c r="G38" s="20" t="s">
        <v>52</v>
      </c>
      <c r="H38" s="20" t="s">
        <v>82</v>
      </c>
      <c r="I38" s="72">
        <v>8</v>
      </c>
      <c r="J38" s="72"/>
      <c r="K38" s="72"/>
      <c r="L38" s="72"/>
      <c r="M38" s="72"/>
      <c r="N38" s="72">
        <v>8</v>
      </c>
      <c r="O38" s="72"/>
      <c r="P38" s="72"/>
      <c r="Q38" s="72"/>
      <c r="R38" s="72"/>
      <c r="S38" s="72"/>
    </row>
    <row r="39" spans="1:19" s="17" customFormat="1" hidden="1" x14ac:dyDescent="0.3">
      <c r="A39" s="80"/>
      <c r="B39" s="80"/>
      <c r="C39" s="80"/>
      <c r="D39" s="80"/>
      <c r="E39" s="77"/>
      <c r="F39" s="77"/>
      <c r="G39" s="20" t="s">
        <v>84</v>
      </c>
      <c r="H39" s="20" t="s">
        <v>98</v>
      </c>
      <c r="I39" s="72">
        <v>1</v>
      </c>
      <c r="J39" s="72"/>
      <c r="K39" s="72"/>
      <c r="L39" s="72"/>
      <c r="M39" s="72"/>
      <c r="N39" s="72"/>
      <c r="O39" s="72"/>
      <c r="P39" s="72"/>
      <c r="Q39" s="72"/>
      <c r="R39" s="72"/>
      <c r="S39" s="72"/>
    </row>
    <row r="40" spans="1:19" s="17" customFormat="1" ht="15" hidden="1" customHeight="1" x14ac:dyDescent="0.3">
      <c r="A40" s="80"/>
      <c r="B40" s="80"/>
      <c r="C40" s="80"/>
      <c r="D40" s="80"/>
      <c r="E40" s="77"/>
      <c r="F40" s="77"/>
      <c r="G40" s="20" t="s">
        <v>85</v>
      </c>
      <c r="H40" s="20" t="s">
        <v>82</v>
      </c>
      <c r="I40" s="72">
        <v>8</v>
      </c>
      <c r="J40" s="72"/>
      <c r="K40" s="72"/>
      <c r="L40" s="72"/>
      <c r="M40" s="72"/>
      <c r="N40" s="72"/>
      <c r="O40" s="72">
        <v>8</v>
      </c>
      <c r="P40" s="72"/>
      <c r="Q40" s="72"/>
      <c r="R40" s="72"/>
      <c r="S40" s="72"/>
    </row>
    <row r="41" spans="1:19" s="17" customFormat="1" hidden="1" x14ac:dyDescent="0.3">
      <c r="A41" s="80"/>
      <c r="B41" s="80"/>
      <c r="C41" s="80"/>
      <c r="D41" s="80"/>
      <c r="E41" s="77"/>
      <c r="F41" s="77"/>
      <c r="G41" s="20" t="s">
        <v>53</v>
      </c>
      <c r="H41" s="20" t="s">
        <v>98</v>
      </c>
      <c r="I41" s="72">
        <v>1</v>
      </c>
      <c r="J41" s="72"/>
      <c r="K41" s="72"/>
      <c r="L41" s="72"/>
      <c r="M41" s="72"/>
      <c r="N41" s="72"/>
      <c r="O41" s="72"/>
      <c r="P41" s="72"/>
      <c r="Q41" s="72"/>
      <c r="R41" s="72"/>
      <c r="S41" s="72"/>
    </row>
    <row r="42" spans="1:19" s="17" customFormat="1" ht="15" hidden="1" customHeight="1" x14ac:dyDescent="0.3">
      <c r="A42" s="80"/>
      <c r="B42" s="80"/>
      <c r="C42" s="80"/>
      <c r="D42" s="80"/>
      <c r="E42" s="77"/>
      <c r="F42" s="77"/>
      <c r="G42" s="20" t="s">
        <v>86</v>
      </c>
      <c r="H42" s="20" t="s">
        <v>82</v>
      </c>
      <c r="I42" s="72">
        <v>3</v>
      </c>
      <c r="J42" s="72"/>
      <c r="K42" s="72"/>
      <c r="L42" s="72"/>
      <c r="M42" s="72"/>
      <c r="N42" s="72"/>
      <c r="O42" s="72"/>
      <c r="P42" s="72">
        <v>3</v>
      </c>
      <c r="Q42" s="72"/>
      <c r="R42" s="72"/>
      <c r="S42" s="72"/>
    </row>
    <row r="43" spans="1:19" s="17" customFormat="1" hidden="1" x14ac:dyDescent="0.3">
      <c r="A43" s="80"/>
      <c r="B43" s="80"/>
      <c r="C43" s="80"/>
      <c r="D43" s="80"/>
      <c r="E43" s="77"/>
      <c r="F43" s="77"/>
      <c r="G43" s="20" t="s">
        <v>87</v>
      </c>
      <c r="H43" s="20" t="s">
        <v>98</v>
      </c>
      <c r="I43" s="72">
        <v>1</v>
      </c>
      <c r="J43" s="72"/>
      <c r="K43" s="72"/>
      <c r="L43" s="72"/>
      <c r="M43" s="72"/>
      <c r="N43" s="72"/>
      <c r="O43" s="72"/>
      <c r="P43" s="72"/>
      <c r="Q43" s="72"/>
      <c r="R43" s="72"/>
      <c r="S43" s="72"/>
    </row>
    <row r="44" spans="1:19" s="17" customFormat="1" ht="15" hidden="1" customHeight="1" x14ac:dyDescent="0.3">
      <c r="A44" s="80"/>
      <c r="B44" s="80"/>
      <c r="C44" s="80"/>
      <c r="D44" s="80"/>
      <c r="E44" s="77"/>
      <c r="F44" s="77"/>
      <c r="G44" s="20" t="s">
        <v>54</v>
      </c>
      <c r="H44" s="20" t="s">
        <v>82</v>
      </c>
      <c r="I44" s="72">
        <v>3</v>
      </c>
      <c r="J44" s="72"/>
      <c r="K44" s="72"/>
      <c r="L44" s="72"/>
      <c r="M44" s="72"/>
      <c r="N44" s="72"/>
      <c r="O44" s="72"/>
      <c r="P44" s="72">
        <v>2</v>
      </c>
      <c r="Q44" s="72">
        <v>1</v>
      </c>
      <c r="R44" s="72"/>
      <c r="S44" s="72"/>
    </row>
    <row r="45" spans="1:19" s="17" customFormat="1" ht="15" hidden="1" customHeight="1" x14ac:dyDescent="0.3">
      <c r="A45" s="80"/>
      <c r="B45" s="80"/>
      <c r="C45" s="80"/>
      <c r="D45" s="80"/>
      <c r="E45" s="77"/>
      <c r="F45" s="77"/>
      <c r="G45" s="20" t="s">
        <v>36</v>
      </c>
      <c r="H45" s="20" t="s">
        <v>83</v>
      </c>
      <c r="I45" s="72">
        <v>6</v>
      </c>
      <c r="J45" s="72"/>
      <c r="K45" s="72">
        <v>4</v>
      </c>
      <c r="L45" s="72">
        <v>2</v>
      </c>
      <c r="M45" s="72"/>
      <c r="N45" s="72"/>
      <c r="O45" s="72"/>
      <c r="P45" s="72"/>
      <c r="Q45" s="72"/>
      <c r="R45" s="72"/>
      <c r="S45" s="72"/>
    </row>
    <row r="46" spans="1:19" s="17" customFormat="1" hidden="1" x14ac:dyDescent="0.3">
      <c r="A46" s="80"/>
      <c r="B46" s="80"/>
      <c r="C46" s="80"/>
      <c r="D46" s="80"/>
      <c r="E46" s="77"/>
      <c r="F46" s="77"/>
      <c r="G46" s="20" t="s">
        <v>88</v>
      </c>
      <c r="H46" s="20" t="s">
        <v>98</v>
      </c>
      <c r="I46" s="72">
        <v>2</v>
      </c>
      <c r="J46" s="72"/>
      <c r="K46" s="72"/>
      <c r="L46" s="72"/>
      <c r="M46" s="72"/>
      <c r="N46" s="72"/>
      <c r="O46" s="72"/>
      <c r="P46" s="72"/>
      <c r="Q46" s="72"/>
      <c r="R46" s="72"/>
      <c r="S46" s="72"/>
    </row>
    <row r="47" spans="1:19" s="17" customFormat="1" ht="15" hidden="1" customHeight="1" x14ac:dyDescent="0.3">
      <c r="A47" s="81"/>
      <c r="B47" s="81"/>
      <c r="C47" s="81"/>
      <c r="D47" s="81"/>
      <c r="E47" s="78"/>
      <c r="F47" s="78"/>
      <c r="G47" s="20" t="s">
        <v>37</v>
      </c>
      <c r="H47" s="20" t="s">
        <v>83</v>
      </c>
      <c r="I47" s="64">
        <v>8</v>
      </c>
      <c r="J47" s="72"/>
      <c r="K47" s="72"/>
      <c r="L47" s="72"/>
      <c r="M47" s="72"/>
      <c r="N47" s="72"/>
      <c r="O47" s="72"/>
      <c r="P47" s="72"/>
      <c r="Q47" s="72"/>
      <c r="R47" s="72">
        <v>8</v>
      </c>
      <c r="S47" s="72"/>
    </row>
    <row r="48" spans="1:19" s="17" customFormat="1" ht="15" hidden="1" customHeight="1" x14ac:dyDescent="0.3">
      <c r="A48" s="79">
        <v>5</v>
      </c>
      <c r="B48" s="79" t="s">
        <v>100</v>
      </c>
      <c r="C48" s="79" t="s">
        <v>104</v>
      </c>
      <c r="D48" s="79">
        <v>5</v>
      </c>
      <c r="E48" s="76"/>
      <c r="F48" s="76"/>
      <c r="G48" s="20" t="s">
        <v>52</v>
      </c>
      <c r="H48" s="20" t="s">
        <v>97</v>
      </c>
      <c r="I48" s="72">
        <v>8</v>
      </c>
      <c r="J48" s="64">
        <v>3.5</v>
      </c>
      <c r="K48" s="64">
        <v>3.5</v>
      </c>
      <c r="L48" s="72">
        <v>1</v>
      </c>
      <c r="M48" s="72"/>
      <c r="N48" s="72"/>
      <c r="O48" s="72"/>
      <c r="P48" s="72"/>
      <c r="Q48" s="72"/>
      <c r="R48" s="72"/>
      <c r="S48" s="72"/>
    </row>
    <row r="49" spans="1:19" s="17" customFormat="1" hidden="1" x14ac:dyDescent="0.3">
      <c r="A49" s="80"/>
      <c r="B49" s="80"/>
      <c r="C49" s="80"/>
      <c r="D49" s="80"/>
      <c r="E49" s="77"/>
      <c r="F49" s="77"/>
      <c r="G49" s="20" t="s">
        <v>84</v>
      </c>
      <c r="H49" s="20" t="s">
        <v>98</v>
      </c>
      <c r="I49" s="72">
        <v>1</v>
      </c>
      <c r="J49" s="64"/>
      <c r="K49" s="72">
        <v>4.5</v>
      </c>
      <c r="L49" s="72"/>
      <c r="M49" s="72"/>
      <c r="N49" s="72"/>
      <c r="O49" s="72"/>
      <c r="P49" s="72"/>
      <c r="Q49" s="72"/>
      <c r="R49" s="72"/>
      <c r="S49" s="72"/>
    </row>
    <row r="50" spans="1:19" s="17" customFormat="1" ht="15" hidden="1" customHeight="1" x14ac:dyDescent="0.3">
      <c r="A50" s="80"/>
      <c r="B50" s="80"/>
      <c r="C50" s="80"/>
      <c r="D50" s="80"/>
      <c r="E50" s="77"/>
      <c r="F50" s="77"/>
      <c r="G50" s="20" t="s">
        <v>85</v>
      </c>
      <c r="H50" s="20" t="s">
        <v>97</v>
      </c>
      <c r="I50" s="72">
        <v>12</v>
      </c>
      <c r="J50" s="72"/>
      <c r="K50" s="72">
        <v>4.5</v>
      </c>
      <c r="L50" s="72">
        <v>4.5</v>
      </c>
      <c r="M50" s="72">
        <v>3</v>
      </c>
      <c r="N50" s="72"/>
      <c r="O50" s="72"/>
      <c r="P50" s="72"/>
      <c r="Q50" s="72"/>
      <c r="R50" s="72"/>
      <c r="S50" s="72"/>
    </row>
    <row r="51" spans="1:19" s="17" customFormat="1" hidden="1" x14ac:dyDescent="0.3">
      <c r="A51" s="80"/>
      <c r="B51" s="80"/>
      <c r="C51" s="80"/>
      <c r="D51" s="80"/>
      <c r="E51" s="77"/>
      <c r="F51" s="77"/>
      <c r="G51" s="20" t="s">
        <v>53</v>
      </c>
      <c r="H51" s="20" t="s">
        <v>98</v>
      </c>
      <c r="I51" s="72">
        <v>1</v>
      </c>
      <c r="J51" s="72"/>
      <c r="K51" s="72"/>
      <c r="L51" s="72"/>
      <c r="M51" s="72"/>
      <c r="N51" s="72"/>
      <c r="O51" s="72"/>
      <c r="P51" s="72"/>
      <c r="Q51" s="72"/>
      <c r="R51" s="72"/>
      <c r="S51" s="72"/>
    </row>
    <row r="52" spans="1:19" s="17" customFormat="1" ht="15" hidden="1" customHeight="1" x14ac:dyDescent="0.3">
      <c r="A52" s="80"/>
      <c r="B52" s="80"/>
      <c r="C52" s="80"/>
      <c r="D52" s="80"/>
      <c r="E52" s="77"/>
      <c r="F52" s="77"/>
      <c r="G52" s="20" t="s">
        <v>86</v>
      </c>
      <c r="H52" s="20" t="s">
        <v>97</v>
      </c>
      <c r="I52" s="72">
        <v>5</v>
      </c>
      <c r="J52" s="72"/>
      <c r="K52" s="72"/>
      <c r="L52" s="72"/>
      <c r="M52" s="72"/>
      <c r="N52" s="72"/>
      <c r="O52" s="72">
        <v>2.5</v>
      </c>
      <c r="P52" s="72">
        <v>2.5</v>
      </c>
      <c r="Q52" s="72"/>
      <c r="R52" s="72"/>
      <c r="S52" s="72"/>
    </row>
    <row r="53" spans="1:19" s="17" customFormat="1" hidden="1" x14ac:dyDescent="0.3">
      <c r="A53" s="80"/>
      <c r="B53" s="80"/>
      <c r="C53" s="80"/>
      <c r="D53" s="80"/>
      <c r="E53" s="77"/>
      <c r="F53" s="77"/>
      <c r="G53" s="20" t="s">
        <v>87</v>
      </c>
      <c r="H53" s="20" t="s">
        <v>98</v>
      </c>
      <c r="I53" s="72">
        <v>1</v>
      </c>
      <c r="J53" s="72"/>
      <c r="K53" s="72"/>
      <c r="L53" s="72"/>
      <c r="M53" s="72"/>
      <c r="N53" s="72"/>
      <c r="O53" s="72"/>
      <c r="P53" s="72"/>
      <c r="Q53" s="72"/>
      <c r="R53" s="72"/>
      <c r="S53" s="72"/>
    </row>
    <row r="54" spans="1:19" s="17" customFormat="1" ht="15" hidden="1" customHeight="1" x14ac:dyDescent="0.3">
      <c r="A54" s="80"/>
      <c r="B54" s="80"/>
      <c r="C54" s="80"/>
      <c r="D54" s="80"/>
      <c r="E54" s="77"/>
      <c r="F54" s="77"/>
      <c r="G54" s="20" t="s">
        <v>54</v>
      </c>
      <c r="H54" s="20" t="s">
        <v>97</v>
      </c>
      <c r="I54" s="72">
        <v>5</v>
      </c>
      <c r="J54" s="72"/>
      <c r="K54" s="72"/>
      <c r="L54" s="72"/>
      <c r="M54" s="72"/>
      <c r="N54" s="72"/>
      <c r="O54" s="72"/>
      <c r="P54" s="72">
        <v>2.5</v>
      </c>
      <c r="Q54" s="72">
        <v>2.5</v>
      </c>
      <c r="R54" s="72"/>
      <c r="S54" s="72"/>
    </row>
    <row r="55" spans="1:19" s="17" customFormat="1" ht="15" hidden="1" customHeight="1" x14ac:dyDescent="0.3">
      <c r="A55" s="80"/>
      <c r="B55" s="80"/>
      <c r="C55" s="80"/>
      <c r="D55" s="80"/>
      <c r="E55" s="77"/>
      <c r="F55" s="77"/>
      <c r="G55" s="20" t="s">
        <v>36</v>
      </c>
      <c r="H55" s="20" t="s">
        <v>83</v>
      </c>
      <c r="I55" s="72">
        <v>6</v>
      </c>
      <c r="J55" s="72"/>
      <c r="K55" s="72"/>
      <c r="L55" s="72"/>
      <c r="M55" s="72">
        <v>6</v>
      </c>
      <c r="N55" s="72"/>
      <c r="O55" s="72"/>
      <c r="P55" s="72"/>
      <c r="Q55" s="72"/>
      <c r="R55" s="72"/>
      <c r="S55" s="72"/>
    </row>
    <row r="56" spans="1:19" s="17" customFormat="1" hidden="1" x14ac:dyDescent="0.3">
      <c r="A56" s="80"/>
      <c r="B56" s="80"/>
      <c r="C56" s="80"/>
      <c r="D56" s="80"/>
      <c r="E56" s="77"/>
      <c r="F56" s="77"/>
      <c r="G56" s="20" t="s">
        <v>88</v>
      </c>
      <c r="H56" s="20" t="s">
        <v>98</v>
      </c>
      <c r="I56" s="72">
        <v>1</v>
      </c>
      <c r="J56" s="72"/>
      <c r="K56" s="72"/>
      <c r="L56" s="72"/>
      <c r="M56" s="72"/>
      <c r="N56" s="72"/>
      <c r="O56" s="72"/>
      <c r="P56" s="72"/>
      <c r="Q56" s="72"/>
      <c r="R56" s="72"/>
      <c r="S56" s="72"/>
    </row>
    <row r="57" spans="1:19" s="17" customFormat="1" ht="15" hidden="1" customHeight="1" x14ac:dyDescent="0.3">
      <c r="A57" s="81"/>
      <c r="B57" s="81"/>
      <c r="C57" s="81"/>
      <c r="D57" s="81"/>
      <c r="E57" s="78"/>
      <c r="F57" s="78"/>
      <c r="G57" s="20" t="s">
        <v>37</v>
      </c>
      <c r="H57" s="20" t="s">
        <v>83</v>
      </c>
      <c r="I57" s="64">
        <v>7</v>
      </c>
      <c r="J57" s="72"/>
      <c r="K57" s="72"/>
      <c r="L57" s="72"/>
      <c r="M57" s="72"/>
      <c r="N57" s="72"/>
      <c r="O57" s="72">
        <v>7</v>
      </c>
      <c r="P57" s="72"/>
      <c r="Q57" s="72"/>
      <c r="R57" s="72"/>
      <c r="S57" s="72"/>
    </row>
    <row r="58" spans="1:19" s="17" customFormat="1" ht="15" hidden="1" customHeight="1" x14ac:dyDescent="0.3">
      <c r="A58" s="79">
        <v>6</v>
      </c>
      <c r="B58" s="79" t="s">
        <v>105</v>
      </c>
      <c r="C58" s="79" t="s">
        <v>104</v>
      </c>
      <c r="D58" s="79">
        <v>5</v>
      </c>
      <c r="E58" s="76"/>
      <c r="F58" s="76"/>
      <c r="G58" s="20" t="s">
        <v>52</v>
      </c>
      <c r="H58" s="20" t="s">
        <v>82</v>
      </c>
      <c r="I58" s="72">
        <v>8</v>
      </c>
      <c r="J58" s="72"/>
      <c r="K58" s="72"/>
      <c r="L58" s="72"/>
      <c r="M58" s="72"/>
      <c r="N58" s="72"/>
      <c r="O58" s="72"/>
      <c r="P58" s="72">
        <v>3</v>
      </c>
      <c r="Q58" s="72">
        <v>4</v>
      </c>
      <c r="R58" s="72">
        <v>1</v>
      </c>
      <c r="S58" s="72"/>
    </row>
    <row r="59" spans="1:19" s="17" customFormat="1" hidden="1" x14ac:dyDescent="0.3">
      <c r="A59" s="80"/>
      <c r="B59" s="80"/>
      <c r="C59" s="80"/>
      <c r="D59" s="80"/>
      <c r="E59" s="77"/>
      <c r="F59" s="77"/>
      <c r="G59" s="20" t="s">
        <v>84</v>
      </c>
      <c r="H59" s="20" t="s">
        <v>98</v>
      </c>
      <c r="I59" s="72">
        <v>1</v>
      </c>
      <c r="J59" s="72"/>
      <c r="K59" s="72"/>
      <c r="L59" s="72"/>
      <c r="M59" s="72"/>
      <c r="N59" s="72"/>
      <c r="O59" s="72"/>
      <c r="P59" s="72"/>
      <c r="Q59" s="72"/>
      <c r="R59" s="72"/>
      <c r="S59" s="72"/>
    </row>
    <row r="60" spans="1:19" s="17" customFormat="1" ht="15" hidden="1" customHeight="1" x14ac:dyDescent="0.3">
      <c r="A60" s="80"/>
      <c r="B60" s="80"/>
      <c r="C60" s="80"/>
      <c r="D60" s="80"/>
      <c r="E60" s="77"/>
      <c r="F60" s="77"/>
      <c r="G60" s="20" t="s">
        <v>85</v>
      </c>
      <c r="H60" s="20" t="s">
        <v>82</v>
      </c>
      <c r="I60" s="72">
        <v>8</v>
      </c>
      <c r="J60" s="72"/>
      <c r="K60" s="72"/>
      <c r="L60" s="72"/>
      <c r="M60" s="72"/>
      <c r="N60" s="72"/>
      <c r="O60" s="72"/>
      <c r="P60" s="72"/>
      <c r="Q60" s="72">
        <v>3</v>
      </c>
      <c r="R60" s="72">
        <v>3</v>
      </c>
      <c r="S60" s="72">
        <v>2</v>
      </c>
    </row>
    <row r="61" spans="1:19" s="17" customFormat="1" hidden="1" x14ac:dyDescent="0.3">
      <c r="A61" s="80"/>
      <c r="B61" s="80"/>
      <c r="C61" s="80"/>
      <c r="D61" s="80"/>
      <c r="E61" s="77"/>
      <c r="F61" s="77"/>
      <c r="G61" s="20" t="s">
        <v>53</v>
      </c>
      <c r="H61" s="20" t="s">
        <v>98</v>
      </c>
      <c r="I61" s="72">
        <v>1</v>
      </c>
      <c r="J61" s="72"/>
      <c r="K61" s="72"/>
      <c r="L61" s="72"/>
      <c r="M61" s="72"/>
      <c r="N61" s="72"/>
      <c r="O61" s="72"/>
      <c r="P61" s="72"/>
      <c r="Q61" s="72"/>
      <c r="R61" s="72"/>
      <c r="S61" s="72"/>
    </row>
    <row r="62" spans="1:19" s="17" customFormat="1" ht="15" hidden="1" customHeight="1" x14ac:dyDescent="0.3">
      <c r="A62" s="80"/>
      <c r="B62" s="80"/>
      <c r="C62" s="80"/>
      <c r="D62" s="80"/>
      <c r="E62" s="77"/>
      <c r="F62" s="77"/>
      <c r="G62" s="20" t="s">
        <v>86</v>
      </c>
      <c r="H62" s="20" t="s">
        <v>82</v>
      </c>
      <c r="I62" s="72">
        <v>3</v>
      </c>
      <c r="J62" s="72"/>
      <c r="K62" s="72"/>
      <c r="L62" s="72"/>
      <c r="M62" s="72"/>
      <c r="N62" s="72"/>
      <c r="O62" s="72"/>
      <c r="P62" s="72"/>
      <c r="Q62" s="72"/>
      <c r="R62" s="72">
        <v>3</v>
      </c>
      <c r="S62" s="72"/>
    </row>
    <row r="63" spans="1:19" s="17" customFormat="1" hidden="1" x14ac:dyDescent="0.3">
      <c r="A63" s="80"/>
      <c r="B63" s="80"/>
      <c r="C63" s="80"/>
      <c r="D63" s="80"/>
      <c r="E63" s="77"/>
      <c r="F63" s="77"/>
      <c r="G63" s="20" t="s">
        <v>87</v>
      </c>
      <c r="H63" s="20" t="s">
        <v>98</v>
      </c>
      <c r="I63" s="72">
        <v>1</v>
      </c>
      <c r="J63" s="72"/>
      <c r="K63" s="72"/>
      <c r="L63" s="72"/>
      <c r="M63" s="72"/>
      <c r="N63" s="72"/>
      <c r="O63" s="72"/>
      <c r="P63" s="72"/>
      <c r="Q63" s="72"/>
      <c r="R63" s="72"/>
      <c r="S63" s="72"/>
    </row>
    <row r="64" spans="1:19" s="17" customFormat="1" ht="15" hidden="1" customHeight="1" x14ac:dyDescent="0.3">
      <c r="A64" s="80"/>
      <c r="B64" s="80"/>
      <c r="C64" s="80"/>
      <c r="D64" s="80"/>
      <c r="E64" s="77"/>
      <c r="F64" s="77"/>
      <c r="G64" s="20" t="s">
        <v>54</v>
      </c>
      <c r="H64" s="20" t="s">
        <v>82</v>
      </c>
      <c r="I64" s="72">
        <v>3</v>
      </c>
      <c r="J64" s="72"/>
      <c r="K64" s="72"/>
      <c r="L64" s="72"/>
      <c r="M64" s="72"/>
      <c r="N64" s="72"/>
      <c r="O64" s="72"/>
      <c r="P64" s="72"/>
      <c r="Q64" s="72"/>
      <c r="R64" s="72"/>
      <c r="S64" s="72">
        <v>3</v>
      </c>
    </row>
    <row r="65" spans="1:19" s="17" customFormat="1" ht="15" customHeight="1" x14ac:dyDescent="0.3">
      <c r="A65" s="80"/>
      <c r="B65" s="80"/>
      <c r="C65" s="80"/>
      <c r="D65" s="80"/>
      <c r="E65" s="77"/>
      <c r="F65" s="77"/>
      <c r="G65" s="20" t="s">
        <v>36</v>
      </c>
      <c r="H65" s="20" t="s">
        <v>99</v>
      </c>
      <c r="I65" s="72">
        <v>8</v>
      </c>
      <c r="J65" s="72"/>
      <c r="K65" s="72"/>
      <c r="L65" s="72"/>
      <c r="M65" s="72"/>
      <c r="N65" s="72"/>
      <c r="O65" s="72"/>
      <c r="P65" s="72">
        <v>4</v>
      </c>
      <c r="Q65" s="72">
        <v>4</v>
      </c>
      <c r="R65" s="72"/>
      <c r="S65" s="72"/>
    </row>
    <row r="66" spans="1:19" s="17" customFormat="1" hidden="1" x14ac:dyDescent="0.3">
      <c r="A66" s="80"/>
      <c r="B66" s="80"/>
      <c r="C66" s="80"/>
      <c r="D66" s="80"/>
      <c r="E66" s="77"/>
      <c r="F66" s="77"/>
      <c r="G66" s="20" t="s">
        <v>88</v>
      </c>
      <c r="H66" s="20" t="s">
        <v>98</v>
      </c>
      <c r="I66" s="72">
        <v>1</v>
      </c>
      <c r="J66" s="72"/>
      <c r="K66" s="72"/>
      <c r="L66" s="72"/>
      <c r="M66" s="72"/>
      <c r="N66" s="72"/>
      <c r="O66" s="72"/>
      <c r="P66" s="72"/>
      <c r="Q66" s="72"/>
      <c r="R66" s="72"/>
      <c r="S66" s="72"/>
    </row>
    <row r="67" spans="1:19" s="17" customFormat="1" ht="15" customHeight="1" x14ac:dyDescent="0.3">
      <c r="A67" s="81"/>
      <c r="B67" s="81"/>
      <c r="C67" s="81"/>
      <c r="D67" s="81"/>
      <c r="E67" s="78"/>
      <c r="F67" s="78"/>
      <c r="G67" s="20" t="s">
        <v>37</v>
      </c>
      <c r="H67" s="20" t="s">
        <v>99</v>
      </c>
      <c r="I67" s="64">
        <v>8</v>
      </c>
      <c r="J67" s="72"/>
      <c r="K67" s="72"/>
      <c r="L67" s="72"/>
      <c r="M67" s="72"/>
      <c r="N67" s="72"/>
      <c r="O67" s="72"/>
      <c r="P67" s="72"/>
      <c r="Q67" s="72"/>
      <c r="R67" s="72">
        <v>4</v>
      </c>
      <c r="S67" s="72">
        <v>4</v>
      </c>
    </row>
    <row r="68" spans="1:19" ht="15.75" hidden="1" customHeight="1" x14ac:dyDescent="0.3">
      <c r="A68" s="42" t="s">
        <v>39</v>
      </c>
      <c r="B68" s="42"/>
      <c r="C68" s="42"/>
      <c r="D68" s="69">
        <f>SUM(D8:D67)</f>
        <v>39</v>
      </c>
      <c r="E68" s="42"/>
      <c r="F68" s="42"/>
      <c r="G68" s="42"/>
      <c r="H68" s="42"/>
      <c r="I68" s="65">
        <f t="shared" ref="I68:S68" si="0">SUM(I8:I67)</f>
        <v>282</v>
      </c>
      <c r="J68" s="71">
        <f t="shared" si="0"/>
        <v>28</v>
      </c>
      <c r="K68" s="65">
        <f t="shared" si="0"/>
        <v>41.5</v>
      </c>
      <c r="L68" s="71">
        <f t="shared" si="0"/>
        <v>31</v>
      </c>
      <c r="M68" s="65">
        <f t="shared" si="0"/>
        <v>19</v>
      </c>
      <c r="N68" s="65">
        <f t="shared" si="0"/>
        <v>16.5</v>
      </c>
      <c r="O68" s="65">
        <f t="shared" si="0"/>
        <v>22.5</v>
      </c>
      <c r="P68" s="65">
        <f t="shared" si="0"/>
        <v>28</v>
      </c>
      <c r="Q68" s="65">
        <f t="shared" si="0"/>
        <v>19</v>
      </c>
      <c r="R68" s="65">
        <f t="shared" si="0"/>
        <v>23</v>
      </c>
      <c r="S68" s="65">
        <f t="shared" si="0"/>
        <v>12</v>
      </c>
    </row>
  </sheetData>
  <autoFilter ref="A7:S68">
    <filterColumn colId="7">
      <filters>
        <filter val="ANURAG KUMAR"/>
        <filter val="RAVI RAJ"/>
      </filters>
    </filterColumn>
  </autoFilter>
  <mergeCells count="37">
    <mergeCell ref="F58:F67"/>
    <mergeCell ref="A58:A67"/>
    <mergeCell ref="B58:B67"/>
    <mergeCell ref="C58:C67"/>
    <mergeCell ref="D58:D67"/>
    <mergeCell ref="E58:E67"/>
    <mergeCell ref="F28:F37"/>
    <mergeCell ref="A28:A37"/>
    <mergeCell ref="B28:B37"/>
    <mergeCell ref="C28:C37"/>
    <mergeCell ref="D28:D37"/>
    <mergeCell ref="E28:E37"/>
    <mergeCell ref="L2:S2"/>
    <mergeCell ref="F8:F17"/>
    <mergeCell ref="D8:D17"/>
    <mergeCell ref="E8:E17"/>
    <mergeCell ref="A18:A27"/>
    <mergeCell ref="B18:B27"/>
    <mergeCell ref="C18:C27"/>
    <mergeCell ref="D18:D27"/>
    <mergeCell ref="E18:E27"/>
    <mergeCell ref="F18:F27"/>
    <mergeCell ref="A8:A17"/>
    <mergeCell ref="B8:B17"/>
    <mergeCell ref="C8:C17"/>
    <mergeCell ref="F38:F47"/>
    <mergeCell ref="A38:A47"/>
    <mergeCell ref="B38:B47"/>
    <mergeCell ref="C38:C47"/>
    <mergeCell ref="D38:D47"/>
    <mergeCell ref="E38:E47"/>
    <mergeCell ref="F48:F57"/>
    <mergeCell ref="A48:A57"/>
    <mergeCell ref="B48:B57"/>
    <mergeCell ref="C48:C57"/>
    <mergeCell ref="D48:D57"/>
    <mergeCell ref="E48:E57"/>
  </mergeCells>
  <dataValidations count="1">
    <dataValidation type="list" allowBlank="1" showInputMessage="1" showErrorMessage="1" sqref="C68">
      <formula1>"High,Medium,Low"</formula1>
    </dataValidation>
  </dataValidations>
  <pageMargins left="0.7" right="0.7" top="0.75" bottom="0.75" header="0.3" footer="0.3"/>
  <pageSetup paperSize="9" orientation="portrait" horizontalDpi="300" verticalDpi="300" r:id="rId1"/>
  <headerFooter>
    <oddHeader xml:space="preserve">&amp;L&amp;"Bookman Old Style,Regular"&amp;10Novac Technology Solutions&amp;R&amp;"Bookman Old Style,Regular"&amp;10Sprint Backlog </oddHeader>
    <oddFooter>&amp;L&amp;"Bookman Old Style,Regular"&amp;10Confidential
&amp;C&amp;"Bookman Old Style,Regular"&amp;10Template V. No. 1.00
QMS V. No. 4.00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'D:\SPRINT\32_SPRINT_35\Sprint Plan\[NOVPHILSCR_Sprint_35_Sprint-Plan.xlsx]Sprint Capacity Plan'!#REF!</xm:f>
          </x14:formula1>
          <xm:sqref>H28:H34</xm:sqref>
        </x14:dataValidation>
        <x14:dataValidation type="list" allowBlank="1" showInputMessage="1" showErrorMessage="1">
          <x14:formula1>
            <xm:f>'Sprint Capacity Plan'!$A$8:$A$13</xm:f>
          </x14:formula1>
          <xm:sqref>H36</xm:sqref>
        </x14:dataValidation>
        <x14:dataValidation type="list" allowBlank="1" showInputMessage="1" showErrorMessage="1">
          <x14:formula1>
            <xm:f>'Sprint Capacity Plan'!$A$8:$A$13</xm:f>
          </x14:formula1>
          <xm:sqref>H38:H67</xm:sqref>
        </x14:dataValidation>
        <x14:dataValidation type="list" allowBlank="1" showInputMessage="1" showErrorMessage="1">
          <x14:formula1>
            <xm:f>'Sprint Capacity Plan'!$A$8:$A$13</xm:f>
          </x14:formula1>
          <xm:sqref>H8:H27</xm:sqref>
        </x14:dataValidation>
        <x14:dataValidation type="list" allowBlank="1" showInputMessage="1" showErrorMessage="1">
          <x14:formula1>
            <xm:f>'Sprint Capacity Plan'!$A$8:$A$14</xm:f>
          </x14:formula1>
          <xm:sqref>H37</xm:sqref>
        </x14:dataValidation>
        <x14:dataValidation type="list" allowBlank="1" showInputMessage="1" showErrorMessage="1">
          <x14:formula1>
            <xm:f>'Sprint Capacity Plan'!$A$8:$A$14</xm:f>
          </x14:formula1>
          <xm:sqref>H35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7"/>
  <sheetViews>
    <sheetView showGridLines="0" zoomScaleNormal="100" workbookViewId="0">
      <selection activeCell="B5" sqref="B5"/>
    </sheetView>
  </sheetViews>
  <sheetFormatPr defaultRowHeight="15" x14ac:dyDescent="0.25"/>
  <cols>
    <col min="1" max="1" width="21.28515625" style="2" customWidth="1"/>
    <col min="2" max="2" width="17.28515625" style="2" bestFit="1" customWidth="1"/>
    <col min="3" max="3" width="13.42578125" style="2" customWidth="1"/>
    <col min="4" max="4" width="24" style="2" bestFit="1" customWidth="1"/>
    <col min="5" max="5" width="18.42578125" style="2" bestFit="1" customWidth="1"/>
    <col min="6" max="6" width="19.140625" style="2" bestFit="1" customWidth="1"/>
    <col min="7" max="7" width="22.7109375" style="2" customWidth="1"/>
    <col min="8" max="8" width="17.28515625" style="2" customWidth="1"/>
    <col min="9" max="9" width="9.140625" style="2" customWidth="1"/>
    <col min="10" max="10" width="20.85546875" style="3" customWidth="1"/>
    <col min="11" max="11" width="46.28515625" style="3" bestFit="1" customWidth="1"/>
    <col min="12" max="16384" width="9.140625" style="3"/>
  </cols>
  <sheetData>
    <row r="1" spans="1:9" x14ac:dyDescent="0.25">
      <c r="A1" s="84" t="s">
        <v>31</v>
      </c>
      <c r="B1" s="84"/>
      <c r="C1" s="84"/>
      <c r="D1" s="84"/>
      <c r="E1" s="84"/>
      <c r="F1" s="84"/>
      <c r="G1" s="84"/>
      <c r="H1" s="84"/>
    </row>
    <row r="2" spans="1:9" ht="12" customHeight="1" x14ac:dyDescent="0.25">
      <c r="A2" s="85"/>
      <c r="B2" s="85"/>
      <c r="C2" s="85"/>
      <c r="D2" s="85"/>
      <c r="E2" s="85"/>
      <c r="F2" s="85"/>
      <c r="G2" s="85"/>
      <c r="H2" s="85"/>
    </row>
    <row r="4" spans="1:9" ht="15.75" thickBot="1" x14ac:dyDescent="0.3"/>
    <row r="5" spans="1:9" s="8" customFormat="1" ht="26.25" thickBot="1" x14ac:dyDescent="0.3">
      <c r="A5" s="24" t="s">
        <v>12</v>
      </c>
      <c r="B5" s="44">
        <v>10</v>
      </c>
      <c r="C5" s="24" t="s">
        <v>3</v>
      </c>
      <c r="D5" s="53">
        <v>45551</v>
      </c>
      <c r="E5" s="24" t="s">
        <v>11</v>
      </c>
      <c r="F5" s="53">
        <v>45565</v>
      </c>
      <c r="G5" s="24" t="s">
        <v>10</v>
      </c>
      <c r="H5" s="53">
        <v>45565</v>
      </c>
      <c r="I5" s="6"/>
    </row>
    <row r="6" spans="1:9" x14ac:dyDescent="0.25">
      <c r="A6" s="83" t="s">
        <v>9</v>
      </c>
      <c r="B6" s="83"/>
      <c r="C6" s="83"/>
      <c r="D6" s="83"/>
      <c r="E6" s="83"/>
      <c r="F6" s="83"/>
      <c r="G6" s="83"/>
      <c r="H6" s="83"/>
    </row>
    <row r="7" spans="1:9" ht="33.75" customHeight="1" x14ac:dyDescent="0.25">
      <c r="A7" s="21" t="s">
        <v>13</v>
      </c>
      <c r="B7" s="21" t="s">
        <v>8</v>
      </c>
      <c r="C7" s="21" t="s">
        <v>7</v>
      </c>
      <c r="D7" s="21" t="s">
        <v>6</v>
      </c>
      <c r="E7" s="21" t="s">
        <v>49</v>
      </c>
      <c r="F7" s="21" t="s">
        <v>50</v>
      </c>
      <c r="G7" s="21" t="s">
        <v>5</v>
      </c>
      <c r="H7" s="21" t="s">
        <v>4</v>
      </c>
    </row>
    <row r="8" spans="1:9" ht="15.75" x14ac:dyDescent="0.3">
      <c r="A8" s="22" t="s">
        <v>82</v>
      </c>
      <c r="B8" s="22"/>
      <c r="C8" s="22">
        <v>8</v>
      </c>
      <c r="D8" s="51">
        <f>C8*B5</f>
        <v>80</v>
      </c>
      <c r="E8" s="51">
        <v>80</v>
      </c>
      <c r="F8" s="22">
        <v>74</v>
      </c>
      <c r="G8" s="51">
        <f t="shared" ref="G8:G14" si="0">E8-F8</f>
        <v>6</v>
      </c>
      <c r="H8" s="52">
        <f t="shared" ref="H8:H14" si="1">(F8/E8)*100</f>
        <v>92.5</v>
      </c>
    </row>
    <row r="9" spans="1:9" ht="15.75" x14ac:dyDescent="0.3">
      <c r="A9" s="22" t="s">
        <v>89</v>
      </c>
      <c r="B9" s="22"/>
      <c r="C9" s="22">
        <v>8</v>
      </c>
      <c r="D9" s="51">
        <f>C9*B5</f>
        <v>80</v>
      </c>
      <c r="E9" s="51">
        <v>80</v>
      </c>
      <c r="F9" s="22">
        <v>30</v>
      </c>
      <c r="G9" s="51">
        <f t="shared" si="0"/>
        <v>50</v>
      </c>
      <c r="H9" s="52">
        <f t="shared" si="1"/>
        <v>37.5</v>
      </c>
    </row>
    <row r="10" spans="1:9" ht="15.75" x14ac:dyDescent="0.3">
      <c r="A10" s="22" t="s">
        <v>97</v>
      </c>
      <c r="B10" s="22"/>
      <c r="C10" s="22">
        <v>8</v>
      </c>
      <c r="D10" s="51">
        <v>80</v>
      </c>
      <c r="E10" s="51">
        <v>80</v>
      </c>
      <c r="F10" s="22">
        <v>60</v>
      </c>
      <c r="G10" s="51">
        <f>E10-F10</f>
        <v>20</v>
      </c>
      <c r="H10" s="52">
        <f>(F10/E10)*100</f>
        <v>75</v>
      </c>
    </row>
    <row r="11" spans="1:9" ht="15.75" x14ac:dyDescent="0.3">
      <c r="A11" s="22" t="s">
        <v>83</v>
      </c>
      <c r="B11" s="22"/>
      <c r="C11" s="22">
        <v>4</v>
      </c>
      <c r="D11" s="51">
        <v>40</v>
      </c>
      <c r="E11" s="51">
        <v>40</v>
      </c>
      <c r="F11" s="22">
        <v>40</v>
      </c>
      <c r="G11" s="51">
        <f t="shared" si="0"/>
        <v>0</v>
      </c>
      <c r="H11" s="52">
        <f t="shared" si="1"/>
        <v>100</v>
      </c>
    </row>
    <row r="12" spans="1:9" ht="15.75" x14ac:dyDescent="0.3">
      <c r="A12" s="22" t="s">
        <v>99</v>
      </c>
      <c r="B12" s="22"/>
      <c r="C12" s="22">
        <v>4</v>
      </c>
      <c r="D12" s="51">
        <v>40</v>
      </c>
      <c r="E12" s="51">
        <v>40</v>
      </c>
      <c r="F12" s="22">
        <v>32</v>
      </c>
      <c r="G12" s="51">
        <f>E12-F12</f>
        <v>8</v>
      </c>
      <c r="H12" s="52">
        <f t="shared" si="1"/>
        <v>80</v>
      </c>
    </row>
    <row r="13" spans="1:9" ht="15.75" x14ac:dyDescent="0.3">
      <c r="A13" s="22" t="s">
        <v>98</v>
      </c>
      <c r="B13" s="22">
        <v>8</v>
      </c>
      <c r="C13" s="22">
        <v>4</v>
      </c>
      <c r="D13" s="51">
        <f>C13*B5</f>
        <v>40</v>
      </c>
      <c r="E13" s="51">
        <v>32</v>
      </c>
      <c r="F13" s="22">
        <v>32</v>
      </c>
      <c r="G13" s="51">
        <f t="shared" si="0"/>
        <v>0</v>
      </c>
      <c r="H13" s="52">
        <f t="shared" si="1"/>
        <v>100</v>
      </c>
    </row>
    <row r="14" spans="1:9" ht="15.75" x14ac:dyDescent="0.3">
      <c r="A14" s="22" t="s">
        <v>103</v>
      </c>
      <c r="B14" s="22"/>
      <c r="C14" s="22">
        <v>4</v>
      </c>
      <c r="D14" s="51">
        <v>40</v>
      </c>
      <c r="E14" s="51">
        <v>40</v>
      </c>
      <c r="F14" s="22">
        <v>16</v>
      </c>
      <c r="G14" s="51">
        <f t="shared" si="0"/>
        <v>24</v>
      </c>
      <c r="H14" s="52">
        <f t="shared" si="1"/>
        <v>40</v>
      </c>
    </row>
    <row r="15" spans="1:9" x14ac:dyDescent="0.25">
      <c r="A15" s="21"/>
      <c r="B15" s="21"/>
      <c r="C15" s="21"/>
      <c r="D15" s="21">
        <f>SUM(D8:D14)</f>
        <v>400</v>
      </c>
      <c r="E15" s="21">
        <f>SUM(E8:E14)</f>
        <v>392</v>
      </c>
      <c r="F15" s="21">
        <f>SUM(F8:F14)</f>
        <v>284</v>
      </c>
      <c r="G15" s="21">
        <f>E15-F15</f>
        <v>108</v>
      </c>
      <c r="H15" s="23">
        <f>AVERAGE(H8:H14)</f>
        <v>75</v>
      </c>
    </row>
    <row r="16" spans="1:9" x14ac:dyDescent="0.25">
      <c r="A16" s="9"/>
      <c r="B16" s="9"/>
      <c r="C16" s="9"/>
      <c r="D16" s="9"/>
      <c r="E16" s="9"/>
      <c r="F16" s="4"/>
      <c r="G16" s="4"/>
      <c r="H16" s="4"/>
      <c r="I16" s="4"/>
    </row>
    <row r="17" spans="1:9" x14ac:dyDescent="0.25">
      <c r="A17" s="9"/>
      <c r="B17" s="9"/>
      <c r="C17" s="9"/>
      <c r="D17" s="9"/>
      <c r="E17" s="9"/>
      <c r="F17" s="4"/>
      <c r="G17" s="4"/>
      <c r="H17" s="4"/>
      <c r="I17" s="4"/>
    </row>
  </sheetData>
  <mergeCells count="2">
    <mergeCell ref="A6:H6"/>
    <mergeCell ref="A1:H2"/>
  </mergeCells>
  <pageMargins left="0.7" right="0.7" top="0.75" bottom="0.75" header="0.3" footer="0.3"/>
  <pageSetup paperSize="9" orientation="portrait" horizontalDpi="300" verticalDpi="300" r:id="rId1"/>
  <headerFooter>
    <oddHeader>&amp;L&amp;"Bookman Old Style,Regular"&amp;10Novac Technology Solutions&amp;R&amp;"Bookman Old Style,Regular"&amp;10Sprint Capacity Plan</oddHeader>
    <oddFooter>&amp;L&amp;"Bookman Old Style,Regular"&amp;10Confidential
&amp;C&amp;"Bookman Old Style,Regular"&amp;10
Template V. No. 1.00
QMS V. No. 4.00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32"/>
  <sheetViews>
    <sheetView showGridLines="0" zoomScale="85" zoomScaleNormal="85" workbookViewId="0">
      <selection activeCell="E23" sqref="E23"/>
    </sheetView>
  </sheetViews>
  <sheetFormatPr defaultRowHeight="15" x14ac:dyDescent="0.25"/>
  <cols>
    <col min="1" max="1" width="7.5703125" style="11" customWidth="1"/>
    <col min="2" max="2" width="5.140625" style="12" customWidth="1"/>
    <col min="3" max="5" width="25" style="12" customWidth="1"/>
    <col min="6" max="6" width="18.42578125" style="13" customWidth="1"/>
    <col min="7" max="7" width="17.28515625" style="13" customWidth="1"/>
    <col min="8" max="8" width="11.85546875" style="12" customWidth="1"/>
    <col min="9" max="9" width="45" style="13" customWidth="1"/>
    <col min="10" max="10" width="12.42578125" style="12" bestFit="1" customWidth="1"/>
    <col min="11" max="11" width="12" style="12" customWidth="1"/>
    <col min="12" max="16384" width="9.140625" style="11"/>
  </cols>
  <sheetData>
    <row r="2" spans="1:15" x14ac:dyDescent="0.25">
      <c r="K2" s="41" t="s">
        <v>32</v>
      </c>
      <c r="L2" s="41"/>
      <c r="M2" s="41"/>
      <c r="N2" s="41"/>
      <c r="O2" s="40"/>
    </row>
    <row r="4" spans="1:15" ht="18" customHeight="1" x14ac:dyDescent="0.25">
      <c r="A4" s="86" t="s">
        <v>25</v>
      </c>
      <c r="B4" s="86"/>
      <c r="C4" s="86"/>
      <c r="D4" s="86"/>
      <c r="E4" s="86"/>
      <c r="F4" s="86"/>
      <c r="G4" s="86"/>
    </row>
    <row r="6" spans="1:15" ht="15.75" thickBot="1" x14ac:dyDescent="0.3"/>
    <row r="7" spans="1:15" x14ac:dyDescent="0.25">
      <c r="C7" s="87" t="s">
        <v>24</v>
      </c>
      <c r="D7" s="88"/>
      <c r="E7" s="88"/>
      <c r="F7" s="88"/>
      <c r="G7" s="89"/>
    </row>
    <row r="8" spans="1:15" ht="30" x14ac:dyDescent="0.3">
      <c r="C8" s="25" t="s">
        <v>23</v>
      </c>
      <c r="D8" s="26" t="s">
        <v>47</v>
      </c>
      <c r="E8" s="26" t="s">
        <v>9</v>
      </c>
      <c r="F8" s="27" t="s">
        <v>26</v>
      </c>
      <c r="G8" s="28" t="s">
        <v>38</v>
      </c>
    </row>
    <row r="9" spans="1:15" ht="15.75" x14ac:dyDescent="0.3">
      <c r="C9" s="29" t="s">
        <v>22</v>
      </c>
      <c r="D9" s="30">
        <f>'Sprint Backlog'!I68</f>
        <v>282</v>
      </c>
      <c r="E9" s="30"/>
      <c r="F9" s="31"/>
      <c r="G9" s="32"/>
    </row>
    <row r="10" spans="1:15" ht="15.75" x14ac:dyDescent="0.3">
      <c r="C10" s="33" t="s">
        <v>21</v>
      </c>
      <c r="D10" s="34">
        <f t="shared" ref="D10:D19" si="0">D9-E10</f>
        <v>242</v>
      </c>
      <c r="E10" s="30">
        <v>40</v>
      </c>
      <c r="F10" s="35">
        <f>D9-G10</f>
        <v>254</v>
      </c>
      <c r="G10" s="36">
        <f>'Sprint Backlog'!J68</f>
        <v>28</v>
      </c>
    </row>
    <row r="11" spans="1:15" ht="15.75" x14ac:dyDescent="0.3">
      <c r="C11" s="33" t="s">
        <v>20</v>
      </c>
      <c r="D11" s="34">
        <f t="shared" si="0"/>
        <v>202</v>
      </c>
      <c r="E11" s="30">
        <v>40</v>
      </c>
      <c r="F11" s="35">
        <f t="shared" ref="F11:F19" si="1">F10-G11</f>
        <v>212.5</v>
      </c>
      <c r="G11" s="36">
        <f>'Sprint Backlog'!K68</f>
        <v>41.5</v>
      </c>
    </row>
    <row r="12" spans="1:15" ht="15.75" x14ac:dyDescent="0.3">
      <c r="C12" s="33" t="s">
        <v>19</v>
      </c>
      <c r="D12" s="34">
        <f t="shared" si="0"/>
        <v>162</v>
      </c>
      <c r="E12" s="30">
        <v>40</v>
      </c>
      <c r="F12" s="35">
        <f t="shared" si="1"/>
        <v>181.5</v>
      </c>
      <c r="G12" s="36">
        <f>'Sprint Backlog'!L68</f>
        <v>31</v>
      </c>
    </row>
    <row r="13" spans="1:15" ht="15.75" x14ac:dyDescent="0.3">
      <c r="C13" s="33" t="s">
        <v>18</v>
      </c>
      <c r="D13" s="34">
        <f t="shared" si="0"/>
        <v>122</v>
      </c>
      <c r="E13" s="30">
        <v>40</v>
      </c>
      <c r="F13" s="35">
        <f t="shared" si="1"/>
        <v>162.5</v>
      </c>
      <c r="G13" s="36">
        <f>'Sprint Backlog'!M68</f>
        <v>19</v>
      </c>
    </row>
    <row r="14" spans="1:15" ht="15.75" x14ac:dyDescent="0.3">
      <c r="C14" s="33" t="s">
        <v>17</v>
      </c>
      <c r="D14" s="34">
        <f t="shared" si="0"/>
        <v>82</v>
      </c>
      <c r="E14" s="30">
        <v>40</v>
      </c>
      <c r="F14" s="35">
        <f t="shared" si="1"/>
        <v>146</v>
      </c>
      <c r="G14" s="36">
        <f>'Sprint Backlog'!N68</f>
        <v>16.5</v>
      </c>
    </row>
    <row r="15" spans="1:15" ht="15.75" x14ac:dyDescent="0.3">
      <c r="C15" s="33" t="s">
        <v>63</v>
      </c>
      <c r="D15" s="34">
        <f t="shared" si="0"/>
        <v>42</v>
      </c>
      <c r="E15" s="30">
        <v>40</v>
      </c>
      <c r="F15" s="35">
        <f t="shared" si="1"/>
        <v>123.5</v>
      </c>
      <c r="G15" s="36">
        <f>'Sprint Backlog'!O68</f>
        <v>22.5</v>
      </c>
    </row>
    <row r="16" spans="1:15" ht="15.75" x14ac:dyDescent="0.3">
      <c r="C16" s="33" t="s">
        <v>64</v>
      </c>
      <c r="D16" s="34">
        <f t="shared" si="0"/>
        <v>2</v>
      </c>
      <c r="E16" s="30">
        <v>40</v>
      </c>
      <c r="F16" s="35">
        <f t="shared" si="1"/>
        <v>95.5</v>
      </c>
      <c r="G16" s="36">
        <f>'Sprint Backlog'!P68</f>
        <v>28</v>
      </c>
    </row>
    <row r="17" spans="1:16" ht="15.75" x14ac:dyDescent="0.3">
      <c r="C17" s="33" t="s">
        <v>65</v>
      </c>
      <c r="D17" s="34">
        <f t="shared" si="0"/>
        <v>-38</v>
      </c>
      <c r="E17" s="30">
        <v>40</v>
      </c>
      <c r="F17" s="35">
        <f t="shared" si="1"/>
        <v>76.5</v>
      </c>
      <c r="G17" s="36">
        <f>'Sprint Backlog'!Q68</f>
        <v>19</v>
      </c>
    </row>
    <row r="18" spans="1:16" ht="15.75" x14ac:dyDescent="0.3">
      <c r="C18" s="33" t="s">
        <v>66</v>
      </c>
      <c r="D18" s="34">
        <f t="shared" si="0"/>
        <v>-78</v>
      </c>
      <c r="E18" s="30">
        <v>40</v>
      </c>
      <c r="F18" s="35">
        <f t="shared" si="1"/>
        <v>53.5</v>
      </c>
      <c r="G18" s="36">
        <f>'Sprint Backlog'!R68</f>
        <v>23</v>
      </c>
    </row>
    <row r="19" spans="1:16" ht="15.75" x14ac:dyDescent="0.3">
      <c r="C19" s="33" t="s">
        <v>67</v>
      </c>
      <c r="D19" s="34">
        <f t="shared" si="0"/>
        <v>-118</v>
      </c>
      <c r="E19" s="30">
        <v>40</v>
      </c>
      <c r="F19" s="35">
        <f t="shared" si="1"/>
        <v>41.5</v>
      </c>
      <c r="G19" s="36">
        <f>'Sprint Backlog'!S68</f>
        <v>12</v>
      </c>
    </row>
    <row r="20" spans="1:16" ht="15.75" thickBot="1" x14ac:dyDescent="0.3">
      <c r="C20" s="37"/>
      <c r="D20" s="38"/>
      <c r="E20" s="38"/>
      <c r="F20" s="38"/>
      <c r="G20" s="39"/>
    </row>
    <row r="30" spans="1:16" s="10" customFormat="1" x14ac:dyDescent="0.25">
      <c r="A30" s="90" t="s">
        <v>16</v>
      </c>
      <c r="B30" s="91"/>
      <c r="C30" s="91"/>
      <c r="D30" s="91"/>
      <c r="E30" s="91"/>
      <c r="F30" s="91"/>
      <c r="G30" s="91"/>
      <c r="H30" s="91"/>
    </row>
    <row r="31" spans="1:16" s="10" customFormat="1" ht="15.75" thickBot="1" x14ac:dyDescent="0.3"/>
    <row r="32" spans="1:16" s="10" customFormat="1" ht="55.5" customHeight="1" thickBot="1" x14ac:dyDescent="0.3">
      <c r="A32" s="92" t="s">
        <v>75</v>
      </c>
      <c r="B32" s="93"/>
      <c r="C32" s="93"/>
      <c r="D32" s="93"/>
      <c r="E32" s="93"/>
      <c r="F32" s="93"/>
      <c r="G32" s="93"/>
      <c r="H32" s="94"/>
      <c r="I32" s="14"/>
      <c r="J32" s="14"/>
      <c r="K32" s="14"/>
      <c r="L32" s="14"/>
      <c r="M32" s="14"/>
      <c r="N32" s="14"/>
      <c r="O32" s="14"/>
      <c r="P32" s="14"/>
    </row>
  </sheetData>
  <mergeCells count="4">
    <mergeCell ref="A4:G4"/>
    <mergeCell ref="C7:G7"/>
    <mergeCell ref="A30:H30"/>
    <mergeCell ref="A32:H32"/>
  </mergeCells>
  <pageMargins left="0.7" right="0.7" top="0.75" bottom="0.75" header="0.3" footer="0.3"/>
  <pageSetup orientation="portrait" horizontalDpi="300" verticalDpi="300" r:id="rId1"/>
  <headerFooter>
    <oddHeader xml:space="preserve">&amp;L&amp;"Bookman Old Style,Regular"&amp;10Novac Technology Solutions&amp;R&amp;"Bookman Old Style,Regular"&amp;10Sprint Burndown Chart </oddHeader>
    <oddFooter>&amp;L&amp;"Bookman Old Style,Regular"&amp;10Confidential&amp;C&amp;"Bookman Old Style,Regular"&amp;10Template V. No. 1.00
QMS V. No. 4.00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Revision History</vt:lpstr>
      <vt:lpstr>Sprint Backlog</vt:lpstr>
      <vt:lpstr>Sprint Capacity Plan</vt:lpstr>
      <vt:lpstr>Sprint Burndown chart</vt:lpstr>
      <vt:lpstr>'Sprint Backlog'!_Toc302395871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SEPG</dc:creator>
  <cp:lastModifiedBy>Ravi Raj. R</cp:lastModifiedBy>
  <dcterms:created xsi:type="dcterms:W3CDTF">2014-02-28T08:39:25Z</dcterms:created>
  <dcterms:modified xsi:type="dcterms:W3CDTF">2024-10-24T08:38:12Z</dcterms:modified>
</cp:coreProperties>
</file>