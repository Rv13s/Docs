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760\Document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F9" i="1"/>
  <c r="J8" i="1"/>
  <c r="F8" i="1"/>
  <c r="J7" i="1"/>
  <c r="F7" i="1"/>
  <c r="J6" i="1"/>
  <c r="F6" i="1"/>
  <c r="L5" i="1"/>
  <c r="F5" i="1"/>
  <c r="R5" i="1" l="1"/>
  <c r="V5" i="1"/>
  <c r="L6" i="1"/>
  <c r="O5" i="1"/>
  <c r="T5" i="1"/>
  <c r="M6" i="1" l="1"/>
  <c r="L7" i="1"/>
  <c r="O7" i="1"/>
  <c r="O6" i="1"/>
  <c r="P6" i="1" s="1"/>
  <c r="O8" i="1"/>
  <c r="O9" i="1" s="1"/>
  <c r="P7" i="1"/>
  <c r="V6" i="1"/>
  <c r="R6" i="1"/>
  <c r="W6" i="1"/>
  <c r="T6" i="1"/>
  <c r="W5" i="1"/>
  <c r="P9" i="1" l="1"/>
  <c r="P8" i="1"/>
  <c r="T7" i="1"/>
  <c r="L8" i="1"/>
  <c r="M8" i="1" s="1"/>
  <c r="V7" i="1"/>
  <c r="R7" i="1"/>
  <c r="W7" i="1" s="1"/>
  <c r="M7" i="1"/>
  <c r="L9" i="1" l="1"/>
  <c r="V8" i="1"/>
  <c r="R8" i="1"/>
  <c r="T8" i="1"/>
  <c r="W8" i="1" s="1"/>
  <c r="T9" i="1" l="1"/>
  <c r="V9" i="1"/>
  <c r="R9" i="1"/>
  <c r="M9" i="1"/>
  <c r="W9" i="1" l="1"/>
</calcChain>
</file>

<file path=xl/sharedStrings.xml><?xml version="1.0" encoding="utf-8"?>
<sst xmlns="http://schemas.openxmlformats.org/spreadsheetml/2006/main" count="34" uniqueCount="28">
  <si>
    <t>Policy No</t>
  </si>
  <si>
    <t>10000/11/24/000152</t>
  </si>
  <si>
    <t>Type</t>
  </si>
  <si>
    <t>Policy SI</t>
  </si>
  <si>
    <t>Policy Start Date</t>
  </si>
  <si>
    <t>Policy To Date</t>
  </si>
  <si>
    <t>Policy Period</t>
  </si>
  <si>
    <t>1 Year Policy</t>
  </si>
  <si>
    <t>End Eff Start Date</t>
  </si>
  <si>
    <t>End EffPeriod</t>
  </si>
  <si>
    <t>Premium Rate</t>
  </si>
  <si>
    <t>Premium</t>
  </si>
  <si>
    <t>Difference</t>
  </si>
  <si>
    <t>DST %</t>
  </si>
  <si>
    <t>DST amount</t>
  </si>
  <si>
    <t>VAT %</t>
  </si>
  <si>
    <t>VAT amount</t>
  </si>
  <si>
    <t>LGT %</t>
  </si>
  <si>
    <t>LGT Amount</t>
  </si>
  <si>
    <t>Fire Service</t>
  </si>
  <si>
    <t>Fire Service Amount</t>
  </si>
  <si>
    <t>Net Premium</t>
  </si>
  <si>
    <t>Original Policy</t>
  </si>
  <si>
    <t>Original</t>
  </si>
  <si>
    <t xml:space="preserve">Endorsement </t>
  </si>
  <si>
    <t>Increased</t>
  </si>
  <si>
    <t>Decreased</t>
  </si>
  <si>
    <t>Difference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</si>
</sst>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.0_ ;_ * \-#,##0.0_ ;_ * &quot;-&quot;??_ ;_ @_ "/>
    <numFmt numFmtId="165" formatCode="dd/m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915608"/>
      <name val="Verdan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Fill="1" applyBorder="1"/>
    <xf numFmtId="164" fontId="0" fillId="0" borderId="1" xfId="1" applyNumberFormat="1" applyFont="1" applyBorder="1"/>
    <xf numFmtId="165" fontId="0" fillId="0" borderId="1" xfId="0" applyNumberFormat="1" applyBorder="1"/>
    <xf numFmtId="0" fontId="0" fillId="2" borderId="1" xfId="0" applyFill="1" applyBorder="1"/>
    <xf numFmtId="10" fontId="0" fillId="0" borderId="1" xfId="0" applyNumberFormat="1" applyBorder="1"/>
    <xf numFmtId="43" fontId="0" fillId="0" borderId="1" xfId="1" applyFont="1" applyBorder="1"/>
    <xf numFmtId="9" fontId="0" fillId="0" borderId="1" xfId="0" applyNumberFormat="1" applyBorder="1"/>
    <xf numFmtId="43" fontId="0" fillId="0" borderId="1" xfId="0" applyNumberFormat="1" applyBorder="1"/>
    <xf numFmtId="165" fontId="0" fillId="2" borderId="1" xfId="0" applyNumberFormat="1" applyFill="1" applyBorder="1"/>
    <xf numFmtId="43" fontId="0" fillId="2" borderId="1" xfId="1" applyFont="1" applyFill="1" applyBorder="1"/>
    <xf numFmtId="0" fontId="3" fillId="0" borderId="0" xfId="0" applyFont="1"/>
    <xf numFmtId="43" fontId="0" fillId="3" borderId="1" xfId="1" applyFont="1" applyFill="1" applyBorder="1"/>
    <xf numFmtId="0" fontId="4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8"/>
  <sheetViews>
    <sheetView tabSelected="1" topLeftCell="A2" zoomScale="150" zoomScaleNormal="150" workbookViewId="0">
      <selection activeCell="A10" sqref="A10:XFD10"/>
    </sheetView>
  </sheetViews>
  <sheetFormatPr defaultRowHeight="15" x14ac:dyDescent="0.25"/>
  <cols>
    <col min="1" max="1" width="13.85546875" bestFit="1" customWidth="1"/>
    <col min="2" max="2" width="10.28515625" bestFit="1" customWidth="1"/>
    <col min="3" max="3" width="18.85546875" bestFit="1" customWidth="1"/>
    <col min="4" max="4" width="15.5703125" bestFit="1" customWidth="1"/>
    <col min="5" max="5" width="13.5703125" bestFit="1" customWidth="1"/>
    <col min="6" max="6" width="12.5703125" bestFit="1" customWidth="1"/>
    <col min="7" max="7" width="12.140625" bestFit="1" customWidth="1"/>
    <col min="8" max="9" width="16.42578125" bestFit="1" customWidth="1"/>
    <col min="10" max="10" width="13.140625" bestFit="1" customWidth="1"/>
    <col min="11" max="11" width="13.7109375" bestFit="1" customWidth="1"/>
    <col min="12" max="12" width="10" bestFit="1" customWidth="1"/>
    <col min="13" max="13" width="10.42578125" bestFit="1" customWidth="1"/>
    <col min="15" max="15" width="11.5703125" bestFit="1" customWidth="1"/>
    <col min="16" max="16" width="14.28515625" bestFit="1" customWidth="1"/>
    <col min="18" max="18" width="11.85546875" bestFit="1" customWidth="1"/>
    <col min="20" max="20" width="11.85546875" bestFit="1" customWidth="1"/>
    <col min="21" max="21" width="11.28515625" bestFit="1" customWidth="1"/>
    <col min="22" max="22" width="19.140625" bestFit="1" customWidth="1"/>
    <col min="23" max="23" width="12.85546875" bestFit="1" customWidth="1"/>
  </cols>
  <sheetData>
    <row r="2" spans="1:23" x14ac:dyDescent="0.25">
      <c r="B2" s="1" t="s">
        <v>0</v>
      </c>
      <c r="C2" t="s">
        <v>1</v>
      </c>
    </row>
    <row r="4" spans="1:23" x14ac:dyDescent="0.25">
      <c r="A4" s="2"/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 t="s">
        <v>8</v>
      </c>
      <c r="I4" s="5" t="s">
        <v>8</v>
      </c>
      <c r="J4" s="5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27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</row>
    <row r="5" spans="1:23" x14ac:dyDescent="0.25">
      <c r="A5" s="2" t="s">
        <v>22</v>
      </c>
      <c r="B5" s="2" t="s">
        <v>23</v>
      </c>
      <c r="C5" s="6">
        <v>1000000</v>
      </c>
      <c r="D5" s="7">
        <v>45630</v>
      </c>
      <c r="E5" s="7">
        <v>45995</v>
      </c>
      <c r="F5" s="2">
        <f>E5-D5</f>
        <v>365</v>
      </c>
      <c r="G5" s="2">
        <v>365</v>
      </c>
      <c r="H5" s="8"/>
      <c r="I5" s="2"/>
      <c r="J5" s="2">
        <v>365</v>
      </c>
      <c r="K5" s="9">
        <v>8.3808000000000005E-4</v>
      </c>
      <c r="L5" s="10">
        <f>C5*K5*(F5/G5)</f>
        <v>838.08</v>
      </c>
      <c r="M5" s="10"/>
      <c r="N5" s="9">
        <v>0.125</v>
      </c>
      <c r="O5" s="10">
        <f>L5*N5</f>
        <v>104.76</v>
      </c>
      <c r="P5" s="10"/>
      <c r="Q5" s="11">
        <v>0.12</v>
      </c>
      <c r="R5" s="10">
        <f>L5*Q5</f>
        <v>100.56959999999999</v>
      </c>
      <c r="S5" s="9">
        <v>2E-3</v>
      </c>
      <c r="T5" s="10">
        <f>L5*S5</f>
        <v>1.6761600000000001</v>
      </c>
      <c r="U5" s="11">
        <v>0.02</v>
      </c>
      <c r="V5" s="10">
        <f>L5*U5</f>
        <v>16.761600000000001</v>
      </c>
      <c r="W5" s="12">
        <f>L5+O5+R5+T5+V5</f>
        <v>1061.84736</v>
      </c>
    </row>
    <row r="6" spans="1:23" x14ac:dyDescent="0.25">
      <c r="A6" s="2" t="s">
        <v>24</v>
      </c>
      <c r="B6" s="2" t="s">
        <v>25</v>
      </c>
      <c r="C6" s="6">
        <v>2500000</v>
      </c>
      <c r="D6" s="7">
        <v>45630</v>
      </c>
      <c r="E6" s="7">
        <v>45995</v>
      </c>
      <c r="F6" s="2">
        <f>E6-D6</f>
        <v>365</v>
      </c>
      <c r="G6" s="2">
        <v>365</v>
      </c>
      <c r="H6" s="13">
        <v>45720</v>
      </c>
      <c r="I6" s="7">
        <v>45995</v>
      </c>
      <c r="J6" s="2">
        <f>I6-H6</f>
        <v>275</v>
      </c>
      <c r="K6" s="9">
        <v>8.3808000000000005E-4</v>
      </c>
      <c r="L6" s="10">
        <f>L5+((C6-C5)*K6*(J6/G6))</f>
        <v>1785.2252054794521</v>
      </c>
      <c r="M6" s="10">
        <f>L6-L5</f>
        <v>947.1452054794521</v>
      </c>
      <c r="N6" s="9">
        <v>0.125</v>
      </c>
      <c r="O6" s="10">
        <f>IF(C6&gt;C5,O5+(((C6-C5)*K6*(J6/G6))*N6),O5)</f>
        <v>223.15315068493152</v>
      </c>
      <c r="P6" s="10">
        <f>O6-O5</f>
        <v>118.39315068493151</v>
      </c>
      <c r="Q6" s="11">
        <v>0.12</v>
      </c>
      <c r="R6" s="10">
        <f>L6*Q6</f>
        <v>214.22702465753426</v>
      </c>
      <c r="S6" s="9">
        <v>2E-3</v>
      </c>
      <c r="T6" s="10">
        <f>L6*S6</f>
        <v>3.5704504109589044</v>
      </c>
      <c r="U6" s="11">
        <v>0.02</v>
      </c>
      <c r="V6" s="10">
        <f>L6*U6</f>
        <v>35.704504109589045</v>
      </c>
      <c r="W6" s="12">
        <f>L6+O6+R6+T6+V6</f>
        <v>2261.880335342466</v>
      </c>
    </row>
    <row r="7" spans="1:23" x14ac:dyDescent="0.25">
      <c r="A7" s="2" t="s">
        <v>24</v>
      </c>
      <c r="B7" s="17" t="s">
        <v>26</v>
      </c>
      <c r="C7" s="6">
        <v>2200000</v>
      </c>
      <c r="D7" s="7">
        <v>45630</v>
      </c>
      <c r="E7" s="7">
        <v>45995</v>
      </c>
      <c r="F7" s="2">
        <f>E7-D7</f>
        <v>365</v>
      </c>
      <c r="G7" s="2">
        <v>365</v>
      </c>
      <c r="H7" s="13">
        <v>45812</v>
      </c>
      <c r="I7" s="7">
        <v>45995</v>
      </c>
      <c r="J7" s="2">
        <f>I7-H7</f>
        <v>183</v>
      </c>
      <c r="K7" s="9">
        <v>8.3808000000000005E-4</v>
      </c>
      <c r="L7" s="10">
        <f>L6+((C7-C6)*K7*(J7/G7))</f>
        <v>1659.168789041096</v>
      </c>
      <c r="M7" s="10">
        <f>L7-L6</f>
        <v>-126.05641643835611</v>
      </c>
      <c r="N7" s="9">
        <v>0.125</v>
      </c>
      <c r="O7" s="14">
        <f>IF(C7&gt;C6,O6+(((C7-C6)*K7*(J7/G7))*N7),O6)</f>
        <v>223.15315068493152</v>
      </c>
      <c r="P7" s="14">
        <f>O7-O6</f>
        <v>0</v>
      </c>
      <c r="Q7" s="11">
        <v>0.12</v>
      </c>
      <c r="R7" s="10">
        <f>L7*Q7</f>
        <v>199.10025468493151</v>
      </c>
      <c r="S7" s="9">
        <v>2E-3</v>
      </c>
      <c r="T7" s="10">
        <f>L7*S7</f>
        <v>3.318337578082192</v>
      </c>
      <c r="U7" s="11">
        <v>0.02</v>
      </c>
      <c r="V7" s="10">
        <f>L7*U7</f>
        <v>33.183375780821919</v>
      </c>
      <c r="W7" s="12">
        <f>L7+O7+R7+T7+V7</f>
        <v>2117.923907769863</v>
      </c>
    </row>
    <row r="8" spans="1:23" x14ac:dyDescent="0.25">
      <c r="A8" s="2" t="s">
        <v>24</v>
      </c>
      <c r="B8" s="2" t="s">
        <v>25</v>
      </c>
      <c r="C8" s="6">
        <v>2600000</v>
      </c>
      <c r="D8" s="7">
        <v>45630</v>
      </c>
      <c r="E8" s="7">
        <v>45995</v>
      </c>
      <c r="F8" s="2">
        <f>E8-D8</f>
        <v>365</v>
      </c>
      <c r="G8" s="2">
        <v>365</v>
      </c>
      <c r="H8" s="13">
        <v>45873</v>
      </c>
      <c r="I8" s="7">
        <v>45995</v>
      </c>
      <c r="J8" s="2">
        <f>I8-H8</f>
        <v>122</v>
      </c>
      <c r="K8" s="9">
        <v>8.3808000000000005E-4</v>
      </c>
      <c r="L8" s="10">
        <f>L7+((C8-C7)*K8*(J8/G8))</f>
        <v>1771.2189369863015</v>
      </c>
      <c r="M8" s="16">
        <f>L8-L7</f>
        <v>112.05014794520548</v>
      </c>
      <c r="N8" s="9">
        <v>0.125</v>
      </c>
      <c r="O8" s="10">
        <f>IF(C8&gt;C7,O7+(((C8-C7)*K8*(J8/G8))*N8),O7)</f>
        <v>237.1594191780822</v>
      </c>
      <c r="P8" s="14">
        <f t="shared" ref="P8:P9" si="0">O8-O7</f>
        <v>14.006268493150685</v>
      </c>
      <c r="Q8" s="11">
        <v>0.12</v>
      </c>
      <c r="R8" s="10">
        <f>L8*Q8</f>
        <v>212.54627243835617</v>
      </c>
      <c r="S8" s="9">
        <v>2E-3</v>
      </c>
      <c r="T8" s="10">
        <f>L8*S8</f>
        <v>3.5424378739726032</v>
      </c>
      <c r="U8" s="11">
        <v>0.02</v>
      </c>
      <c r="V8" s="10">
        <f>L8*U8</f>
        <v>35.424378739726031</v>
      </c>
      <c r="W8" s="12">
        <f>L8+O8+R8+T8+V8</f>
        <v>2259.8914452164381</v>
      </c>
    </row>
    <row r="9" spans="1:23" x14ac:dyDescent="0.25">
      <c r="A9" s="2" t="s">
        <v>24</v>
      </c>
      <c r="B9" s="2" t="s">
        <v>26</v>
      </c>
      <c r="C9" s="6">
        <v>2500000</v>
      </c>
      <c r="D9" s="7">
        <v>45630</v>
      </c>
      <c r="E9" s="7">
        <v>45995</v>
      </c>
      <c r="F9" s="2">
        <f>E9-D9</f>
        <v>365</v>
      </c>
      <c r="G9" s="2">
        <v>365</v>
      </c>
      <c r="H9" s="13">
        <v>45934</v>
      </c>
      <c r="I9" s="7">
        <v>45995</v>
      </c>
      <c r="J9" s="2">
        <f>I9-H9</f>
        <v>61</v>
      </c>
      <c r="K9" s="9">
        <v>8.3808000000000005E-4</v>
      </c>
      <c r="L9" s="10">
        <f>L8+((C9-C8)*K9*(J9/G9))</f>
        <v>1757.2126684931509</v>
      </c>
      <c r="M9" s="10">
        <f>L9-L8</f>
        <v>-14.006268493150628</v>
      </c>
      <c r="N9" s="9">
        <v>0.125</v>
      </c>
      <c r="O9" s="14">
        <f>IF(C9&gt;C8,O8+(((C9-C8)*K9*(J9/G9))*N9),O8)</f>
        <v>237.1594191780822</v>
      </c>
      <c r="P9" s="14">
        <f t="shared" si="0"/>
        <v>0</v>
      </c>
      <c r="Q9" s="11">
        <v>0.12</v>
      </c>
      <c r="R9" s="10">
        <f>L9*Q9</f>
        <v>210.86552021917811</v>
      </c>
      <c r="S9" s="9">
        <v>2E-3</v>
      </c>
      <c r="T9" s="10">
        <f>L9*S9</f>
        <v>3.5144253369863017</v>
      </c>
      <c r="U9" s="11">
        <v>0.02</v>
      </c>
      <c r="V9" s="10">
        <f>L9*U9</f>
        <v>35.144253369863016</v>
      </c>
      <c r="W9" s="12">
        <f>L9+O9+R9+T9+V9</f>
        <v>2243.8962865972608</v>
      </c>
    </row>
    <row r="18" spans="11:11" x14ac:dyDescent="0.25">
      <c r="K18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NIJANTHAN PL</dc:creator>
  <cp:lastModifiedBy>NIJANTHAN PL</cp:lastModifiedBy>
  <dcterms:created xsi:type="dcterms:W3CDTF">2024-12-05T10:46:08Z</dcterms:created>
  <dcterms:modified xsi:type="dcterms:W3CDTF">2024-12-13T08:48:22Z</dcterms:modified>
</cp:coreProperties>
</file>