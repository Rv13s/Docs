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ZIVA UNDERWRITING\MISC CAS ZIVA\CGL\"/>
    </mc:Choice>
  </mc:AlternateContent>
  <xr:revisionPtr revIDLastSave="0" documentId="13_ncr:1_{4F85DDBE-2FF6-4895-95ED-3801D8C7A8EC}" xr6:coauthVersionLast="47" xr6:coauthVersionMax="47" xr10:uidLastSave="{00000000-0000-0000-0000-000000000000}"/>
  <bookViews>
    <workbookView xWindow="-120" yWindow="-120" windowWidth="20730" windowHeight="11040" tabRatio="933" firstSheet="2" activeTab="8" xr2:uid="{00000000-000D-0000-FFFF-FFFF00000000}"/>
  </bookViews>
  <sheets>
    <sheet name="City of Paranaque" sheetId="30" r:id="rId1"/>
    <sheet name="Municipality of Cainta, Rizal" sheetId="33" r:id="rId2"/>
    <sheet name="City of Muntinlupa" sheetId="36" r:id="rId3"/>
    <sheet name="City of Makati" sheetId="31" r:id="rId4"/>
    <sheet name="City of Manila" sheetId="32" r:id="rId5"/>
    <sheet name="City of Caloocan" sheetId="35" r:id="rId6"/>
    <sheet name="City of Mandaluyong" sheetId="34" r:id="rId7"/>
    <sheet name="City of Pasay" sheetId="37" r:id="rId8"/>
    <sheet name="Quezon City " sheetId="38" r:id="rId9"/>
    <sheet name="City of San Juan" sheetId="39" r:id="rId10"/>
    <sheet name="checking" sheetId="29" state="hidden" r:id="rId11"/>
  </sheets>
  <calcPr calcId="191029"/>
</workbook>
</file>

<file path=xl/calcChain.xml><?xml version="1.0" encoding="utf-8"?>
<calcChain xmlns="http://schemas.openxmlformats.org/spreadsheetml/2006/main">
  <c r="E13" i="39" l="1"/>
  <c r="E12" i="39"/>
  <c r="E11" i="39"/>
  <c r="G10" i="39"/>
  <c r="E9" i="39"/>
  <c r="F8" i="39"/>
  <c r="G13" i="39" l="1"/>
  <c r="F12" i="39"/>
  <c r="G12" i="39"/>
  <c r="H12" i="39" s="1"/>
  <c r="G11" i="39"/>
  <c r="F10" i="39"/>
  <c r="F9" i="39"/>
  <c r="E8" i="39"/>
  <c r="G8" i="39"/>
  <c r="F13" i="39"/>
  <c r="H13" i="39" s="1"/>
  <c r="F11" i="39"/>
  <c r="E10" i="39"/>
  <c r="H10" i="39" s="1"/>
  <c r="G9" i="39"/>
  <c r="H9" i="39" s="1"/>
  <c r="H11" i="39" l="1"/>
  <c r="H8" i="39"/>
  <c r="E9" i="38" l="1"/>
  <c r="E10" i="38"/>
  <c r="E11" i="38"/>
  <c r="G12" i="38"/>
  <c r="G13" i="38"/>
  <c r="F14" i="38"/>
  <c r="G15" i="38"/>
  <c r="F16" i="38"/>
  <c r="G17" i="38"/>
  <c r="F18" i="38"/>
  <c r="F19" i="38"/>
  <c r="G20" i="38"/>
  <c r="G16" i="38"/>
  <c r="E12" i="38"/>
  <c r="G10" i="38"/>
  <c r="G18" i="38"/>
  <c r="F17" i="38"/>
  <c r="E17" i="38"/>
  <c r="F12" i="38"/>
  <c r="F8" i="38"/>
  <c r="E15" i="37"/>
  <c r="E13" i="37"/>
  <c r="E11" i="37"/>
  <c r="G10" i="37"/>
  <c r="E9" i="37"/>
  <c r="G8" i="37"/>
  <c r="F22" i="37"/>
  <c r="E23" i="37"/>
  <c r="E25" i="37"/>
  <c r="E32" i="37"/>
  <c r="F40" i="37"/>
  <c r="E42" i="37"/>
  <c r="G43" i="37"/>
  <c r="G45" i="37"/>
  <c r="E44" i="37"/>
  <c r="G41" i="37"/>
  <c r="E40" i="37"/>
  <c r="G39" i="37"/>
  <c r="E38" i="37"/>
  <c r="G37" i="37"/>
  <c r="E36" i="37"/>
  <c r="G35" i="37"/>
  <c r="E34" i="37"/>
  <c r="G33" i="37"/>
  <c r="F31" i="37"/>
  <c r="G31" i="37"/>
  <c r="E30" i="37"/>
  <c r="G29" i="37"/>
  <c r="E28" i="37"/>
  <c r="G26" i="37"/>
  <c r="G24" i="37"/>
  <c r="G22" i="37"/>
  <c r="E21" i="37"/>
  <c r="G20" i="37"/>
  <c r="E19" i="37"/>
  <c r="G18" i="37"/>
  <c r="E17" i="37"/>
  <c r="G16" i="37"/>
  <c r="G14" i="37"/>
  <c r="G12" i="37"/>
  <c r="F29" i="36"/>
  <c r="F28" i="36"/>
  <c r="E27" i="36"/>
  <c r="E26" i="36"/>
  <c r="E25" i="36"/>
  <c r="F27" i="36"/>
  <c r="F24" i="36"/>
  <c r="G23" i="36"/>
  <c r="G14" i="36"/>
  <c r="G13" i="36"/>
  <c r="G12" i="36"/>
  <c r="G11" i="36"/>
  <c r="G10" i="36"/>
  <c r="G9" i="36"/>
  <c r="E8" i="36"/>
  <c r="E35" i="35"/>
  <c r="G34" i="35"/>
  <c r="G33" i="35"/>
  <c r="F33" i="35"/>
  <c r="E33" i="35"/>
  <c r="G32" i="35"/>
  <c r="G31" i="35"/>
  <c r="F31" i="35"/>
  <c r="E31" i="35"/>
  <c r="G30" i="35"/>
  <c r="E29" i="35"/>
  <c r="G28" i="35"/>
  <c r="E27" i="35"/>
  <c r="G26" i="35"/>
  <c r="E25" i="35"/>
  <c r="G24" i="35"/>
  <c r="E23" i="35"/>
  <c r="G22" i="35"/>
  <c r="E21" i="35"/>
  <c r="G20" i="35"/>
  <c r="E19" i="35"/>
  <c r="G18" i="35"/>
  <c r="E17" i="35"/>
  <c r="G16" i="35"/>
  <c r="E15" i="35"/>
  <c r="G14" i="35"/>
  <c r="E13" i="35"/>
  <c r="G12" i="35"/>
  <c r="E11" i="35"/>
  <c r="G10" i="35"/>
  <c r="E9" i="35"/>
  <c r="G8" i="35"/>
  <c r="G35" i="32"/>
  <c r="F11" i="38" l="1"/>
  <c r="G11" i="38"/>
  <c r="E13" i="38"/>
  <c r="G14" i="38"/>
  <c r="F15" i="38"/>
  <c r="E15" i="38"/>
  <c r="E16" i="38"/>
  <c r="H16" i="38" s="1"/>
  <c r="E18" i="38"/>
  <c r="H18" i="38" s="1"/>
  <c r="G19" i="38"/>
  <c r="E19" i="38"/>
  <c r="F20" i="38"/>
  <c r="E20" i="38"/>
  <c r="H15" i="38"/>
  <c r="E14" i="38"/>
  <c r="F13" i="38"/>
  <c r="H13" i="38" s="1"/>
  <c r="F10" i="38"/>
  <c r="G9" i="38"/>
  <c r="F9" i="38"/>
  <c r="H12" i="38"/>
  <c r="H17" i="38"/>
  <c r="H11" i="38"/>
  <c r="H10" i="38"/>
  <c r="G8" i="38"/>
  <c r="H19" i="38"/>
  <c r="E8" i="38"/>
  <c r="G8" i="36"/>
  <c r="F8" i="36"/>
  <c r="F9" i="35"/>
  <c r="F11" i="35"/>
  <c r="F13" i="35"/>
  <c r="F15" i="35"/>
  <c r="F17" i="35"/>
  <c r="F19" i="35"/>
  <c r="F21" i="35"/>
  <c r="F23" i="35"/>
  <c r="F25" i="35"/>
  <c r="F27" i="35"/>
  <c r="F29" i="35"/>
  <c r="F35" i="35"/>
  <c r="G9" i="35"/>
  <c r="G11" i="35"/>
  <c r="G13" i="35"/>
  <c r="G15" i="35"/>
  <c r="H15" i="35" s="1"/>
  <c r="G17" i="35"/>
  <c r="G19" i="35"/>
  <c r="G21" i="35"/>
  <c r="G23" i="35"/>
  <c r="G25" i="35"/>
  <c r="G27" i="35"/>
  <c r="G29" i="35"/>
  <c r="G35" i="35"/>
  <c r="H9" i="35"/>
  <c r="F14" i="37"/>
  <c r="F44" i="37"/>
  <c r="F38" i="37"/>
  <c r="F42" i="37"/>
  <c r="H42" i="37" s="1"/>
  <c r="E37" i="37"/>
  <c r="G38" i="37"/>
  <c r="E39" i="37"/>
  <c r="G40" i="37"/>
  <c r="H40" i="37" s="1"/>
  <c r="E41" i="37"/>
  <c r="G42" i="37"/>
  <c r="E43" i="37"/>
  <c r="G44" i="37"/>
  <c r="H44" i="37" s="1"/>
  <c r="E45" i="37"/>
  <c r="F37" i="37"/>
  <c r="H37" i="37" s="1"/>
  <c r="H38" i="37"/>
  <c r="F39" i="37"/>
  <c r="F41" i="37"/>
  <c r="H41" i="37" s="1"/>
  <c r="F43" i="37"/>
  <c r="F45" i="37"/>
  <c r="H45" i="37" s="1"/>
  <c r="E27" i="37"/>
  <c r="F27" i="37"/>
  <c r="G27" i="37"/>
  <c r="F12" i="37"/>
  <c r="F20" i="37"/>
  <c r="F29" i="37"/>
  <c r="F10" i="37"/>
  <c r="F18" i="37"/>
  <c r="F26" i="37"/>
  <c r="F35" i="37"/>
  <c r="F8" i="37"/>
  <c r="F16" i="37"/>
  <c r="F24" i="37"/>
  <c r="F33" i="37"/>
  <c r="F17" i="37"/>
  <c r="F19" i="37"/>
  <c r="F28" i="37"/>
  <c r="F30" i="37"/>
  <c r="F36" i="37"/>
  <c r="F9" i="37"/>
  <c r="F11" i="37"/>
  <c r="F13" i="37"/>
  <c r="F15" i="37"/>
  <c r="F21" i="37"/>
  <c r="F23" i="37"/>
  <c r="F25" i="37"/>
  <c r="F32" i="37"/>
  <c r="F34" i="37"/>
  <c r="E8" i="37"/>
  <c r="G9" i="37"/>
  <c r="E10" i="37"/>
  <c r="G11" i="37"/>
  <c r="E12" i="37"/>
  <c r="G13" i="37"/>
  <c r="E14" i="37"/>
  <c r="H14" i="37" s="1"/>
  <c r="G15" i="37"/>
  <c r="E16" i="37"/>
  <c r="H16" i="37" s="1"/>
  <c r="G17" i="37"/>
  <c r="E18" i="37"/>
  <c r="G19" i="37"/>
  <c r="H19" i="37" s="1"/>
  <c r="E20" i="37"/>
  <c r="H20" i="37" s="1"/>
  <c r="G21" i="37"/>
  <c r="E22" i="37"/>
  <c r="H22" i="37" s="1"/>
  <c r="G23" i="37"/>
  <c r="E24" i="37"/>
  <c r="H24" i="37" s="1"/>
  <c r="G25" i="37"/>
  <c r="E26" i="37"/>
  <c r="G28" i="37"/>
  <c r="E29" i="37"/>
  <c r="H29" i="37" s="1"/>
  <c r="G30" i="37"/>
  <c r="E31" i="37"/>
  <c r="H31" i="37" s="1"/>
  <c r="G32" i="37"/>
  <c r="H32" i="37" s="1"/>
  <c r="E33" i="37"/>
  <c r="H33" i="37" s="1"/>
  <c r="G34" i="37"/>
  <c r="E35" i="37"/>
  <c r="G36" i="37"/>
  <c r="H21" i="37"/>
  <c r="E28" i="36"/>
  <c r="G27" i="36"/>
  <c r="H27" i="36" s="1"/>
  <c r="E23" i="36"/>
  <c r="E29" i="36"/>
  <c r="G29" i="36"/>
  <c r="G28" i="36"/>
  <c r="F26" i="36"/>
  <c r="G26" i="36"/>
  <c r="E24" i="36"/>
  <c r="F25" i="36"/>
  <c r="G25" i="36"/>
  <c r="G24" i="36"/>
  <c r="E10" i="36"/>
  <c r="E9" i="36"/>
  <c r="E11" i="36"/>
  <c r="E12" i="36"/>
  <c r="E13" i="36"/>
  <c r="E14" i="36"/>
  <c r="F9" i="36"/>
  <c r="F10" i="36"/>
  <c r="F11" i="36"/>
  <c r="F12" i="36"/>
  <c r="F13" i="36"/>
  <c r="F14" i="36"/>
  <c r="F23" i="36"/>
  <c r="E8" i="35"/>
  <c r="E12" i="35"/>
  <c r="E16" i="35"/>
  <c r="E20" i="35"/>
  <c r="E22" i="35"/>
  <c r="E34" i="35"/>
  <c r="F8" i="35"/>
  <c r="F10" i="35"/>
  <c r="H11" i="35"/>
  <c r="F12" i="35"/>
  <c r="H13" i="35"/>
  <c r="F14" i="35"/>
  <c r="F16" i="35"/>
  <c r="H17" i="35"/>
  <c r="F18" i="35"/>
  <c r="H19" i="35"/>
  <c r="F20" i="35"/>
  <c r="H20" i="35" s="1"/>
  <c r="H21" i="35"/>
  <c r="F22" i="35"/>
  <c r="H23" i="35"/>
  <c r="F24" i="35"/>
  <c r="H25" i="35"/>
  <c r="F26" i="35"/>
  <c r="H27" i="35"/>
  <c r="F28" i="35"/>
  <c r="H29" i="35"/>
  <c r="F30" i="35"/>
  <c r="H31" i="35"/>
  <c r="F32" i="35"/>
  <c r="H33" i="35"/>
  <c r="F34" i="35"/>
  <c r="H35" i="35"/>
  <c r="E10" i="35"/>
  <c r="H10" i="35" s="1"/>
  <c r="E14" i="35"/>
  <c r="H14" i="35" s="1"/>
  <c r="E18" i="35"/>
  <c r="H18" i="35" s="1"/>
  <c r="E24" i="35"/>
  <c r="E26" i="35"/>
  <c r="H26" i="35" s="1"/>
  <c r="E28" i="35"/>
  <c r="E30" i="35"/>
  <c r="H30" i="35" s="1"/>
  <c r="E32" i="35"/>
  <c r="E35" i="32"/>
  <c r="F35" i="32"/>
  <c r="H35" i="32" s="1"/>
  <c r="H20" i="38" l="1"/>
  <c r="H9" i="38"/>
  <c r="H14" i="38"/>
  <c r="H8" i="38"/>
  <c r="H28" i="35"/>
  <c r="H22" i="35"/>
  <c r="H34" i="35"/>
  <c r="H12" i="35"/>
  <c r="H8" i="35"/>
  <c r="H32" i="35"/>
  <c r="H24" i="35"/>
  <c r="H16" i="35"/>
  <c r="H12" i="37"/>
  <c r="H18" i="37"/>
  <c r="H23" i="37"/>
  <c r="H25" i="37"/>
  <c r="H30" i="37"/>
  <c r="H39" i="37"/>
  <c r="H27" i="37"/>
  <c r="H26" i="37"/>
  <c r="H15" i="37"/>
  <c r="H17" i="37"/>
  <c r="H43" i="37"/>
  <c r="H13" i="37"/>
  <c r="H36" i="37"/>
  <c r="H34" i="37"/>
  <c r="H11" i="37"/>
  <c r="H28" i="37"/>
  <c r="H8" i="37"/>
  <c r="H35" i="37"/>
  <c r="H10" i="37"/>
  <c r="H9" i="37"/>
  <c r="H28" i="36"/>
  <c r="H23" i="36"/>
  <c r="H29" i="36"/>
  <c r="H26" i="36"/>
  <c r="H24" i="36"/>
  <c r="H25" i="36"/>
  <c r="H11" i="36"/>
  <c r="H8" i="36"/>
  <c r="H14" i="36"/>
  <c r="H10" i="36"/>
  <c r="H13" i="36"/>
  <c r="H12" i="36"/>
  <c r="H9" i="36"/>
  <c r="E34" i="34" l="1"/>
  <c r="G25" i="34"/>
  <c r="G24" i="34"/>
  <c r="G21" i="34"/>
  <c r="E10" i="34"/>
  <c r="G34" i="34"/>
  <c r="F34" i="34"/>
  <c r="G33" i="34"/>
  <c r="G32" i="34"/>
  <c r="F32" i="34"/>
  <c r="E32" i="34"/>
  <c r="G31" i="34"/>
  <c r="G30" i="34"/>
  <c r="F30" i="34"/>
  <c r="E30" i="34"/>
  <c r="G29" i="34"/>
  <c r="G28" i="34"/>
  <c r="F28" i="34"/>
  <c r="E28" i="34"/>
  <c r="G27" i="34"/>
  <c r="G26" i="34"/>
  <c r="F26" i="34"/>
  <c r="E26" i="34"/>
  <c r="F24" i="34"/>
  <c r="E24" i="34"/>
  <c r="G23" i="34"/>
  <c r="G22" i="34"/>
  <c r="F22" i="34"/>
  <c r="E22" i="34"/>
  <c r="G20" i="34"/>
  <c r="F20" i="34"/>
  <c r="E20" i="34"/>
  <c r="G19" i="34"/>
  <c r="G18" i="34"/>
  <c r="F18" i="34"/>
  <c r="E18" i="34"/>
  <c r="G17" i="34"/>
  <c r="G16" i="34"/>
  <c r="F16" i="34"/>
  <c r="E16" i="34"/>
  <c r="G15" i="34"/>
  <c r="G14" i="34"/>
  <c r="F14" i="34"/>
  <c r="E14" i="34"/>
  <c r="G13" i="34"/>
  <c r="G12" i="34"/>
  <c r="F12" i="34"/>
  <c r="E12" i="34"/>
  <c r="G11" i="34"/>
  <c r="G10" i="34"/>
  <c r="F10" i="34"/>
  <c r="G9" i="34"/>
  <c r="G8" i="34"/>
  <c r="F8" i="34"/>
  <c r="E8" i="34"/>
  <c r="G18" i="33"/>
  <c r="G16" i="33"/>
  <c r="G17" i="33"/>
  <c r="G19" i="33"/>
  <c r="F15" i="33"/>
  <c r="G14" i="33"/>
  <c r="E13" i="33"/>
  <c r="E12" i="33"/>
  <c r="F11" i="33"/>
  <c r="G10" i="33"/>
  <c r="E9" i="33"/>
  <c r="E8" i="33"/>
  <c r="E9" i="34" l="1"/>
  <c r="E13" i="34"/>
  <c r="E17" i="34"/>
  <c r="E23" i="34"/>
  <c r="H23" i="34" s="1"/>
  <c r="E27" i="34"/>
  <c r="E29" i="34"/>
  <c r="E31" i="34"/>
  <c r="H8" i="34"/>
  <c r="H10" i="34"/>
  <c r="F11" i="34"/>
  <c r="H12" i="34"/>
  <c r="F13" i="34"/>
  <c r="H14" i="34"/>
  <c r="F15" i="34"/>
  <c r="H16" i="34"/>
  <c r="F17" i="34"/>
  <c r="H18" i="34"/>
  <c r="F19" i="34"/>
  <c r="H20" i="34"/>
  <c r="F21" i="34"/>
  <c r="H22" i="34"/>
  <c r="F23" i="34"/>
  <c r="H24" i="34"/>
  <c r="F25" i="34"/>
  <c r="H25" i="34" s="1"/>
  <c r="H26" i="34"/>
  <c r="F27" i="34"/>
  <c r="H27" i="34" s="1"/>
  <c r="H28" i="34"/>
  <c r="F29" i="34"/>
  <c r="H30" i="34"/>
  <c r="F31" i="34"/>
  <c r="H32" i="34"/>
  <c r="F33" i="34"/>
  <c r="H34" i="34"/>
  <c r="E11" i="34"/>
  <c r="E15" i="34"/>
  <c r="E19" i="34"/>
  <c r="E21" i="34"/>
  <c r="E25" i="34"/>
  <c r="E33" i="34"/>
  <c r="F9" i="34"/>
  <c r="H9" i="34" s="1"/>
  <c r="F13" i="33"/>
  <c r="G9" i="33"/>
  <c r="G8" i="33"/>
  <c r="G13" i="33"/>
  <c r="E20" i="33"/>
  <c r="G20" i="33"/>
  <c r="E16" i="33"/>
  <c r="E18" i="33"/>
  <c r="F16" i="33"/>
  <c r="F17" i="33"/>
  <c r="F18" i="33"/>
  <c r="F19" i="33"/>
  <c r="E17" i="33"/>
  <c r="E19" i="33"/>
  <c r="F12" i="33"/>
  <c r="G15" i="33"/>
  <c r="G12" i="33"/>
  <c r="F8" i="33"/>
  <c r="I8" i="33" s="1"/>
  <c r="F9" i="33"/>
  <c r="G11" i="33"/>
  <c r="F20" i="33"/>
  <c r="E14" i="33"/>
  <c r="E10" i="33"/>
  <c r="F10" i="33"/>
  <c r="E11" i="33"/>
  <c r="F14" i="33"/>
  <c r="E15" i="33"/>
  <c r="G23" i="32"/>
  <c r="E24" i="32"/>
  <c r="E15" i="32"/>
  <c r="G13" i="32"/>
  <c r="F11" i="32"/>
  <c r="I14" i="33" l="1"/>
  <c r="I11" i="33"/>
  <c r="H31" i="34"/>
  <c r="H21" i="34"/>
  <c r="H19" i="34"/>
  <c r="H15" i="34"/>
  <c r="H13" i="34"/>
  <c r="H11" i="34"/>
  <c r="H33" i="34"/>
  <c r="H29" i="34"/>
  <c r="H17" i="34"/>
  <c r="I19" i="33"/>
  <c r="I20" i="33"/>
  <c r="I13" i="33"/>
  <c r="I9" i="33"/>
  <c r="I15" i="33"/>
  <c r="I12" i="33"/>
  <c r="I16" i="33"/>
  <c r="I10" i="33"/>
  <c r="I17" i="33"/>
  <c r="I18" i="33"/>
  <c r="E33" i="32"/>
  <c r="F33" i="32"/>
  <c r="G33" i="32"/>
  <c r="E31" i="32"/>
  <c r="F31" i="32"/>
  <c r="G31" i="32"/>
  <c r="E29" i="32"/>
  <c r="F29" i="32"/>
  <c r="G29" i="32"/>
  <c r="E27" i="32"/>
  <c r="F27" i="32"/>
  <c r="G27" i="32"/>
  <c r="E25" i="32"/>
  <c r="F24" i="32"/>
  <c r="F25" i="32"/>
  <c r="E13" i="32"/>
  <c r="G24" i="32"/>
  <c r="G25" i="32"/>
  <c r="F13" i="32"/>
  <c r="E22" i="32"/>
  <c r="F22" i="32"/>
  <c r="E23" i="32"/>
  <c r="G22" i="32"/>
  <c r="F23" i="32"/>
  <c r="E20" i="32"/>
  <c r="F20" i="32"/>
  <c r="E21" i="32"/>
  <c r="G20" i="32"/>
  <c r="F21" i="32"/>
  <c r="G21" i="32"/>
  <c r="E18" i="32"/>
  <c r="F18" i="32"/>
  <c r="E19" i="32"/>
  <c r="G18" i="32"/>
  <c r="F19" i="32"/>
  <c r="G19" i="32"/>
  <c r="F15" i="32"/>
  <c r="E16" i="32"/>
  <c r="G15" i="32"/>
  <c r="F16" i="32"/>
  <c r="G16" i="32"/>
  <c r="E14" i="32"/>
  <c r="F14" i="32"/>
  <c r="G14" i="32"/>
  <c r="E11" i="32"/>
  <c r="G11" i="32"/>
  <c r="E9" i="32"/>
  <c r="F9" i="32"/>
  <c r="G9" i="32"/>
  <c r="E34" i="32"/>
  <c r="F32" i="32"/>
  <c r="G30" i="32"/>
  <c r="G28" i="32"/>
  <c r="E26" i="32"/>
  <c r="F17" i="32"/>
  <c r="G12" i="32"/>
  <c r="G10" i="32"/>
  <c r="E8" i="32"/>
  <c r="G61" i="31"/>
  <c r="F61" i="31"/>
  <c r="E61" i="31"/>
  <c r="G60" i="31"/>
  <c r="F60" i="31"/>
  <c r="E60" i="31"/>
  <c r="G59" i="31"/>
  <c r="F59" i="31"/>
  <c r="E59" i="31"/>
  <c r="G58" i="31"/>
  <c r="F58" i="31"/>
  <c r="E58" i="31"/>
  <c r="G57" i="31"/>
  <c r="F57" i="31"/>
  <c r="E57" i="31"/>
  <c r="G56" i="31"/>
  <c r="F56" i="31"/>
  <c r="E56" i="31"/>
  <c r="G55" i="31"/>
  <c r="F55" i="31"/>
  <c r="E55" i="31"/>
  <c r="G54" i="31"/>
  <c r="F54" i="31"/>
  <c r="E54" i="31"/>
  <c r="G53" i="31"/>
  <c r="F53" i="31"/>
  <c r="E53" i="31"/>
  <c r="G52" i="31"/>
  <c r="F52" i="31"/>
  <c r="E52" i="31"/>
  <c r="G51" i="31"/>
  <c r="F51" i="31"/>
  <c r="E51" i="31"/>
  <c r="G50" i="31"/>
  <c r="F50" i="31"/>
  <c r="E50" i="31"/>
  <c r="G49" i="31"/>
  <c r="F49" i="31"/>
  <c r="E49" i="31"/>
  <c r="G48" i="31"/>
  <c r="F48" i="31"/>
  <c r="E48" i="31"/>
  <c r="G47" i="31"/>
  <c r="F47" i="31"/>
  <c r="E47" i="31"/>
  <c r="G46" i="31"/>
  <c r="F46" i="31"/>
  <c r="E46" i="31"/>
  <c r="G45" i="31"/>
  <c r="F45" i="31"/>
  <c r="E45" i="31"/>
  <c r="G44" i="31"/>
  <c r="F44" i="31"/>
  <c r="E44" i="31"/>
  <c r="G43" i="31"/>
  <c r="F43" i="31"/>
  <c r="E43" i="31"/>
  <c r="G42" i="31"/>
  <c r="F42" i="31"/>
  <c r="E42" i="31"/>
  <c r="G41" i="31"/>
  <c r="F41" i="31"/>
  <c r="E41" i="31"/>
  <c r="G40" i="31"/>
  <c r="F40" i="31"/>
  <c r="E40" i="31"/>
  <c r="G39" i="31"/>
  <c r="F39" i="31"/>
  <c r="E39" i="31"/>
  <c r="G38" i="31"/>
  <c r="F38" i="31"/>
  <c r="E38" i="31"/>
  <c r="G37" i="31"/>
  <c r="F37" i="31"/>
  <c r="E37" i="31"/>
  <c r="G36" i="31"/>
  <c r="F36" i="31"/>
  <c r="E36" i="31"/>
  <c r="G35" i="31"/>
  <c r="F35" i="31"/>
  <c r="E35" i="31"/>
  <c r="G34" i="31"/>
  <c r="F34" i="31"/>
  <c r="E34" i="31"/>
  <c r="G33" i="31"/>
  <c r="F33" i="31"/>
  <c r="E33" i="31"/>
  <c r="G32" i="31"/>
  <c r="F32" i="31"/>
  <c r="E32" i="31"/>
  <c r="G31" i="31"/>
  <c r="F31" i="31"/>
  <c r="E31" i="31"/>
  <c r="G30" i="31"/>
  <c r="F30" i="31"/>
  <c r="E30" i="31"/>
  <c r="G29" i="31"/>
  <c r="F29" i="31"/>
  <c r="E29" i="31"/>
  <c r="G28" i="31"/>
  <c r="F28" i="31"/>
  <c r="E28" i="31"/>
  <c r="G27" i="31"/>
  <c r="F27" i="31"/>
  <c r="E27" i="31"/>
  <c r="G26" i="31"/>
  <c r="F26" i="31"/>
  <c r="E26" i="31"/>
  <c r="G25" i="31"/>
  <c r="F25" i="31"/>
  <c r="E25" i="31"/>
  <c r="G24" i="31"/>
  <c r="F24" i="31"/>
  <c r="E24" i="31"/>
  <c r="G23" i="31"/>
  <c r="F23" i="31"/>
  <c r="E23" i="31"/>
  <c r="G22" i="31"/>
  <c r="F22" i="31"/>
  <c r="E22" i="31"/>
  <c r="G21" i="31"/>
  <c r="F21" i="31"/>
  <c r="E21" i="31"/>
  <c r="G20" i="31"/>
  <c r="F20" i="31"/>
  <c r="E20" i="31"/>
  <c r="G19" i="31"/>
  <c r="F19" i="31"/>
  <c r="E19" i="31"/>
  <c r="G18" i="31"/>
  <c r="F18" i="31"/>
  <c r="E18" i="31"/>
  <c r="G17" i="31"/>
  <c r="F17" i="31"/>
  <c r="E17" i="31"/>
  <c r="G16" i="31"/>
  <c r="F16" i="31"/>
  <c r="E16" i="31"/>
  <c r="G15" i="31"/>
  <c r="F15" i="31"/>
  <c r="E15" i="31"/>
  <c r="G14" i="31"/>
  <c r="F14" i="31"/>
  <c r="E14" i="31"/>
  <c r="G13" i="31"/>
  <c r="F13" i="31"/>
  <c r="E13" i="31"/>
  <c r="G12" i="31"/>
  <c r="F12" i="31"/>
  <c r="E12" i="31"/>
  <c r="G11" i="31"/>
  <c r="F11" i="31"/>
  <c r="E11" i="31"/>
  <c r="G10" i="31"/>
  <c r="F10" i="31"/>
  <c r="E10" i="31"/>
  <c r="G9" i="31"/>
  <c r="F9" i="31"/>
  <c r="E9" i="31"/>
  <c r="G8" i="31"/>
  <c r="F8" i="31"/>
  <c r="E8" i="31"/>
  <c r="G7" i="31"/>
  <c r="F7" i="31"/>
  <c r="E7" i="31"/>
  <c r="H10" i="31" l="1"/>
  <c r="H14" i="31"/>
  <c r="H18" i="31"/>
  <c r="H22" i="31"/>
  <c r="H26" i="31"/>
  <c r="H30" i="31"/>
  <c r="H34" i="31"/>
  <c r="H38" i="31"/>
  <c r="H42" i="31"/>
  <c r="H46" i="31"/>
  <c r="H50" i="31"/>
  <c r="H54" i="31"/>
  <c r="H58" i="31"/>
  <c r="H53" i="31"/>
  <c r="H61" i="31"/>
  <c r="H33" i="32"/>
  <c r="H31" i="32"/>
  <c r="H29" i="32"/>
  <c r="H27" i="32"/>
  <c r="H13" i="32"/>
  <c r="H24" i="32"/>
  <c r="H25" i="32"/>
  <c r="H15" i="32"/>
  <c r="H21" i="32"/>
  <c r="H11" i="32"/>
  <c r="H19" i="32"/>
  <c r="H20" i="32"/>
  <c r="H9" i="32"/>
  <c r="H14" i="32"/>
  <c r="H16" i="32"/>
  <c r="H18" i="32"/>
  <c r="H22" i="32"/>
  <c r="H23" i="32"/>
  <c r="E28" i="32"/>
  <c r="F34" i="32"/>
  <c r="G34" i="32"/>
  <c r="G17" i="32"/>
  <c r="F10" i="32"/>
  <c r="F8" i="32"/>
  <c r="G8" i="32"/>
  <c r="F26" i="32"/>
  <c r="F28" i="32"/>
  <c r="G32" i="32"/>
  <c r="E10" i="32"/>
  <c r="G26" i="32"/>
  <c r="E12" i="32"/>
  <c r="E30" i="32"/>
  <c r="F12" i="32"/>
  <c r="E17" i="32"/>
  <c r="F30" i="32"/>
  <c r="E32" i="32"/>
  <c r="H9" i="31"/>
  <c r="H13" i="31"/>
  <c r="H17" i="31"/>
  <c r="H21" i="31"/>
  <c r="H25" i="31"/>
  <c r="H29" i="31"/>
  <c r="H33" i="31"/>
  <c r="H37" i="31"/>
  <c r="H41" i="31"/>
  <c r="H45" i="31"/>
  <c r="H49" i="31"/>
  <c r="H57" i="31"/>
  <c r="H8" i="31"/>
  <c r="H12" i="31"/>
  <c r="H16" i="31"/>
  <c r="H20" i="31"/>
  <c r="H24" i="31"/>
  <c r="H28" i="31"/>
  <c r="H32" i="31"/>
  <c r="H36" i="31"/>
  <c r="H40" i="31"/>
  <c r="H44" i="31"/>
  <c r="H48" i="31"/>
  <c r="H52" i="31"/>
  <c r="H56" i="31"/>
  <c r="H60" i="31"/>
  <c r="H7" i="31"/>
  <c r="H11" i="31"/>
  <c r="H15" i="31"/>
  <c r="H19" i="31"/>
  <c r="H23" i="31"/>
  <c r="H27" i="31"/>
  <c r="H31" i="31"/>
  <c r="H35" i="31"/>
  <c r="H39" i="31"/>
  <c r="H43" i="31"/>
  <c r="H47" i="31"/>
  <c r="H51" i="31"/>
  <c r="H55" i="31"/>
  <c r="H59" i="31"/>
  <c r="D9" i="30"/>
  <c r="F9" i="30"/>
  <c r="D10" i="30"/>
  <c r="G10" i="30" s="1"/>
  <c r="D11" i="30"/>
  <c r="G11" i="30" s="1"/>
  <c r="D12" i="30"/>
  <c r="F12" i="30" s="1"/>
  <c r="D17" i="30"/>
  <c r="F17" i="30" s="1"/>
  <c r="D15" i="30"/>
  <c r="G15" i="30" s="1"/>
  <c r="D16" i="30"/>
  <c r="G16" i="30" s="1"/>
  <c r="D13" i="30"/>
  <c r="F13" i="30" s="1"/>
  <c r="D14" i="30"/>
  <c r="G14" i="30" s="1"/>
  <c r="D8" i="30"/>
  <c r="G8" i="30" s="1"/>
  <c r="H8" i="32" l="1"/>
  <c r="H10" i="32"/>
  <c r="H26" i="32"/>
  <c r="H34" i="32"/>
  <c r="H28" i="32"/>
  <c r="H17" i="32"/>
  <c r="H32" i="32"/>
  <c r="H30" i="32"/>
  <c r="H12" i="32"/>
  <c r="E16" i="30"/>
  <c r="F16" i="30"/>
  <c r="F15" i="30"/>
  <c r="E12" i="30"/>
  <c r="G12" i="30"/>
  <c r="F11" i="30"/>
  <c r="E17" i="30"/>
  <c r="E13" i="30"/>
  <c r="E9" i="30"/>
  <c r="G9" i="30"/>
  <c r="F10" i="30"/>
  <c r="E11" i="30"/>
  <c r="G13" i="30"/>
  <c r="F14" i="30"/>
  <c r="E15" i="30"/>
  <c r="H15" i="30" s="1"/>
  <c r="G17" i="30"/>
  <c r="E10" i="30"/>
  <c r="H10" i="30" s="1"/>
  <c r="E14" i="30"/>
  <c r="F8" i="30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M6" i="29"/>
  <c r="M5" i="29"/>
  <c r="M4" i="29"/>
  <c r="M3" i="29"/>
  <c r="M2" i="29"/>
  <c r="H12" i="30" l="1"/>
  <c r="H9" i="30"/>
  <c r="H16" i="30"/>
  <c r="H11" i="30"/>
  <c r="H13" i="30"/>
  <c r="H17" i="30"/>
  <c r="H14" i="30"/>
  <c r="J30" i="29"/>
  <c r="J35" i="29" s="1"/>
  <c r="K30" i="29"/>
  <c r="K35" i="29" s="1"/>
  <c r="C30" i="29" l="1"/>
  <c r="C35" i="29" s="1"/>
  <c r="L30" i="29" l="1"/>
  <c r="L35" i="29" s="1"/>
  <c r="I30" i="29"/>
  <c r="I35" i="29" s="1"/>
  <c r="H30" i="29"/>
  <c r="H35" i="29" s="1"/>
  <c r="G30" i="29"/>
  <c r="G35" i="29" s="1"/>
  <c r="F30" i="29"/>
  <c r="F35" i="29" s="1"/>
  <c r="D30" i="29"/>
  <c r="D35" i="29" s="1"/>
  <c r="E8" i="30" l="1"/>
  <c r="H8" i="30" s="1"/>
</calcChain>
</file>

<file path=xl/sharedStrings.xml><?xml version="1.0" encoding="utf-8"?>
<sst xmlns="http://schemas.openxmlformats.org/spreadsheetml/2006/main" count="223" uniqueCount="101">
  <si>
    <t>SUM INSURED RANGE</t>
  </si>
  <si>
    <t>PREMIUM</t>
  </si>
  <si>
    <t>Sum Range</t>
  </si>
  <si>
    <t>Sum of Retention2</t>
  </si>
  <si>
    <t>Sum of XOL2</t>
  </si>
  <si>
    <t>Sum of Quota Share2</t>
  </si>
  <si>
    <t>Sum of First Surplus2</t>
  </si>
  <si>
    <t>Sum of LRI/FACUL</t>
  </si>
  <si>
    <t>5,000,001-6,000,000</t>
  </si>
  <si>
    <t>15,000,001-20,000,000</t>
  </si>
  <si>
    <t>20,000,001-25,000,000</t>
  </si>
  <si>
    <t>0-500,000</t>
  </si>
  <si>
    <t>500,001-1,000,000</t>
  </si>
  <si>
    <t>1,000,001-2,000,000</t>
  </si>
  <si>
    <t>2,000,001-3,000,000</t>
  </si>
  <si>
    <t>3,000,001-4,000,000</t>
  </si>
  <si>
    <t>4,000,001-5,000,000</t>
  </si>
  <si>
    <t>6,000,001-7,000,000</t>
  </si>
  <si>
    <t>9,000,001-10,000,000</t>
  </si>
  <si>
    <t>30,000,001-40,000,000</t>
  </si>
  <si>
    <t>40,000,001-50,000,000</t>
  </si>
  <si>
    <t>60,000,001-70,000,000</t>
  </si>
  <si>
    <t>100,000,001-150,000,000</t>
  </si>
  <si>
    <t>150,000,001-200,000,000</t>
  </si>
  <si>
    <t>200,000,001-250,000,000</t>
  </si>
  <si>
    <t>7,000,001-8,000,000</t>
  </si>
  <si>
    <t>10,000,001-15,000,000</t>
  </si>
  <si>
    <t>Row Labels</t>
  </si>
  <si>
    <t>Sum of Count</t>
  </si>
  <si>
    <t>Sum of RET Premium</t>
  </si>
  <si>
    <t>Sum of QS Premium</t>
  </si>
  <si>
    <t>Sum of FS Premium</t>
  </si>
  <si>
    <t>Sum of LRI Premium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</si>
  <si>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</si>
  <si>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</si>
  <si>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</si>
  <si>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</si>
  <si>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</si>
  <si>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</si>
  <si>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</si>
  <si>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</si>
  <si>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</si>
  <si>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</si>
  <si>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8,000,001-9,000,000</t>
  </si>
  <si>
    <t>K</t>
  </si>
  <si>
    <t>L</t>
  </si>
  <si>
    <t>M</t>
  </si>
  <si>
    <t>N</t>
  </si>
  <si>
    <t>O</t>
  </si>
  <si>
    <t>25,000,001-30,000,000</t>
  </si>
  <si>
    <t>P</t>
  </si>
  <si>
    <t>Q</t>
  </si>
  <si>
    <t>R</t>
  </si>
  <si>
    <t>50,000,001-60,000,000</t>
  </si>
  <si>
    <t>S</t>
  </si>
  <si>
    <t>T</t>
  </si>
  <si>
    <t>70,000,001-80,000,000</t>
  </si>
  <si>
    <t>U</t>
  </si>
  <si>
    <t>80,000,001-90,000,000</t>
  </si>
  <si>
    <t>V</t>
  </si>
  <si>
    <t>90,000,001-100,000,000</t>
  </si>
  <si>
    <t>W</t>
  </si>
  <si>
    <t>X</t>
  </si>
  <si>
    <t>Y</t>
  </si>
  <si>
    <t>Z</t>
  </si>
  <si>
    <t>250,000,001-300,000,000</t>
  </si>
  <si>
    <t>ZZ</t>
  </si>
  <si>
    <t>above 300,000,000</t>
  </si>
  <si>
    <t>Grand Total</t>
  </si>
  <si>
    <t>pami</t>
  </si>
  <si>
    <t>COMPREHENSIVE GENERAL LIABILITY</t>
  </si>
  <si>
    <t>SCHEDULE OF PREMIUMS</t>
  </si>
  <si>
    <t>City of Paranaque</t>
  </si>
  <si>
    <t>TOTAL</t>
  </si>
  <si>
    <t>DOC. STAMPS</t>
  </si>
  <si>
    <t>LGT</t>
  </si>
  <si>
    <t>BASIC</t>
  </si>
  <si>
    <t xml:space="preserve">FLOOR AREA ( SQ.MTS ) </t>
  </si>
  <si>
    <t>SUM INSURED</t>
  </si>
  <si>
    <t xml:space="preserve">PREMIUM </t>
  </si>
  <si>
    <t>DST 12.5%</t>
  </si>
  <si>
    <t>EVAT 12.00%</t>
  </si>
  <si>
    <t>LGT 0.20%</t>
  </si>
  <si>
    <t xml:space="preserve">UP </t>
  </si>
  <si>
    <t>City of Makati</t>
  </si>
  <si>
    <t>MIN</t>
  </si>
  <si>
    <t>MAX</t>
  </si>
  <si>
    <t>City of Manila</t>
  </si>
  <si>
    <t>FLOOR AREA (sq. mts)</t>
  </si>
  <si>
    <t>E-VAT</t>
  </si>
  <si>
    <t>&amp; above</t>
  </si>
  <si>
    <t xml:space="preserve">MISC. FEE (NOTARIAL) </t>
  </si>
  <si>
    <t>City of Mandaluyong</t>
  </si>
  <si>
    <t>City of Caloocan</t>
  </si>
  <si>
    <t>Cainta, Rizal</t>
  </si>
  <si>
    <t>City of Muntinlupa (For Business Permit)</t>
  </si>
  <si>
    <t>City of Muntinlupa (For Building Permit)</t>
  </si>
  <si>
    <t xml:space="preserve">  </t>
  </si>
  <si>
    <t>City of Pasay</t>
  </si>
  <si>
    <t>Quezon City</t>
  </si>
  <si>
    <t>City of 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</si>
</sst>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0\ ;&quot; (&quot;#,##0.00\);&quot; -&quot;#\ ;@\ 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1" fillId="0" borderId="0"/>
    <xf numFmtId="164" fontId="6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6" fillId="0" borderId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3" fontId="4" fillId="0" borderId="0" xfId="1" applyFont="1"/>
    <xf numFmtId="43" fontId="4" fillId="0" borderId="1" xfId="1" applyFont="1" applyBorder="1"/>
    <xf numFmtId="0" fontId="5" fillId="0" borderId="0" xfId="0" applyFont="1" applyAlignment="1">
      <alignment horizontal="left"/>
    </xf>
    <xf numFmtId="0" fontId="7" fillId="2" borderId="4" xfId="0" applyFont="1" applyFill="1" applyBorder="1"/>
    <xf numFmtId="0" fontId="0" fillId="0" borderId="0" xfId="0" applyAlignment="1">
      <alignment horizontal="left"/>
    </xf>
    <xf numFmtId="0" fontId="7" fillId="2" borderId="5" xfId="0" applyFont="1" applyFill="1" applyBorder="1"/>
    <xf numFmtId="0" fontId="7" fillId="0" borderId="4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43" fontId="7" fillId="2" borderId="4" xfId="1" applyFont="1" applyFill="1" applyBorder="1"/>
    <xf numFmtId="43" fontId="0" fillId="0" borderId="0" xfId="1" applyFont="1"/>
    <xf numFmtId="43" fontId="7" fillId="2" borderId="5" xfId="1" applyFont="1" applyFill="1" applyBorder="1"/>
    <xf numFmtId="43" fontId="4" fillId="0" borderId="1" xfId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4" applyFont="1" applyBorder="1"/>
    <xf numFmtId="164" fontId="0" fillId="0" borderId="0" xfId="4" applyFont="1"/>
    <xf numFmtId="0" fontId="5" fillId="2" borderId="1" xfId="0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65" fontId="4" fillId="0" borderId="1" xfId="1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center" vertical="center"/>
    </xf>
    <xf numFmtId="167" fontId="0" fillId="0" borderId="1" xfId="4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43" fontId="5" fillId="2" borderId="7" xfId="1" applyFont="1" applyFill="1" applyBorder="1" applyAlignment="1">
      <alignment horizontal="center" vertical="center"/>
    </xf>
    <xf numFmtId="43" fontId="5" fillId="2" borderId="11" xfId="1" applyFont="1" applyFill="1" applyBorder="1" applyAlignment="1">
      <alignment horizontal="center" vertical="center"/>
    </xf>
    <xf numFmtId="43" fontId="5" fillId="2" borderId="8" xfId="1" applyFont="1" applyFill="1" applyBorder="1" applyAlignment="1">
      <alignment horizontal="center" vertical="center"/>
    </xf>
    <xf numFmtId="43" fontId="5" fillId="2" borderId="12" xfId="1" applyFont="1" applyFill="1" applyBorder="1" applyAlignment="1">
      <alignment horizontal="center" vertical="center"/>
    </xf>
    <xf numFmtId="43" fontId="5" fillId="2" borderId="6" xfId="1" applyFont="1" applyFill="1" applyBorder="1" applyAlignment="1">
      <alignment horizontal="center" vertical="center"/>
    </xf>
    <xf numFmtId="43" fontId="5" fillId="2" borderId="13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8" fillId="0" borderId="6" xfId="4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4" fontId="8" fillId="0" borderId="2" xfId="4" applyFont="1" applyBorder="1" applyAlignment="1">
      <alignment horizontal="center" vertical="center"/>
    </xf>
    <xf numFmtId="164" fontId="8" fillId="0" borderId="3" xfId="4" applyFont="1" applyBorder="1" applyAlignment="1">
      <alignment horizontal="center" vertical="center"/>
    </xf>
    <xf numFmtId="164" fontId="8" fillId="0" borderId="2" xfId="4" applyFont="1" applyBorder="1" applyAlignment="1">
      <alignment horizontal="center" vertical="center" wrapText="1"/>
    </xf>
    <xf numFmtId="164" fontId="8" fillId="0" borderId="3" xfId="4" applyFont="1" applyBorder="1" applyAlignment="1">
      <alignment horizontal="center" vertical="center" wrapText="1"/>
    </xf>
  </cellXfs>
  <cellStyles count="47">
    <cellStyle name="Comma" xfId="1" builtinId="3"/>
    <cellStyle name="Comma 2" xfId="4" xr:uid="{00000000-0005-0000-0000-000001000000}"/>
    <cellStyle name="Comma 2 2" xfId="9" xr:uid="{00000000-0005-0000-0000-000002000000}"/>
    <cellStyle name="Comma 2 3" xfId="6" xr:uid="{00000000-0005-0000-0000-000003000000}"/>
    <cellStyle name="Comma 3" xfId="26" xr:uid="{00000000-0005-0000-0000-000004000000}"/>
    <cellStyle name="Comma 3 2" xfId="3" xr:uid="{00000000-0005-0000-0000-000005000000}"/>
    <cellStyle name="Comma 4" xfId="27" xr:uid="{00000000-0005-0000-0000-000006000000}"/>
    <cellStyle name="Comma 4 2" xfId="28" xr:uid="{00000000-0005-0000-0000-000007000000}"/>
    <cellStyle name="Comma 5" xfId="29" xr:uid="{00000000-0005-0000-0000-000008000000}"/>
    <cellStyle name="Comma 5 2" xfId="30" xr:uid="{00000000-0005-0000-0000-000009000000}"/>
    <cellStyle name="Comma 5 2 2" xfId="31" xr:uid="{00000000-0005-0000-0000-00000A000000}"/>
    <cellStyle name="Comma 6" xfId="32" xr:uid="{00000000-0005-0000-0000-00000B000000}"/>
    <cellStyle name="Comma 7" xfId="33" xr:uid="{00000000-0005-0000-0000-00000C000000}"/>
    <cellStyle name="Excel_BuiltIn_Comma 1" xfId="34" xr:uid="{00000000-0005-0000-0000-00000D000000}"/>
    <cellStyle name="Normal" xfId="0" builtinId="0"/>
    <cellStyle name="Normal 10" xfId="45" xr:uid="{00000000-0005-0000-0000-00000F000000}"/>
    <cellStyle name="Normal 11" xfId="17" xr:uid="{00000000-0005-0000-0000-000010000000}"/>
    <cellStyle name="Normal 14" xfId="12" xr:uid="{00000000-0005-0000-0000-000011000000}"/>
    <cellStyle name="Normal 15" xfId="42" xr:uid="{00000000-0005-0000-0000-000012000000}"/>
    <cellStyle name="Normal 16" xfId="41" xr:uid="{00000000-0005-0000-0000-000013000000}"/>
    <cellStyle name="Normal 17" xfId="18" xr:uid="{00000000-0005-0000-0000-000014000000}"/>
    <cellStyle name="Normal 18" xfId="39" xr:uid="{00000000-0005-0000-0000-000015000000}"/>
    <cellStyle name="Normal 19" xfId="13" xr:uid="{00000000-0005-0000-0000-000016000000}"/>
    <cellStyle name="Normal 2" xfId="5" xr:uid="{00000000-0005-0000-0000-000017000000}"/>
    <cellStyle name="Normal 2 2" xfId="35" xr:uid="{00000000-0005-0000-0000-000018000000}"/>
    <cellStyle name="Normal 2 2 2" xfId="7" xr:uid="{00000000-0005-0000-0000-000019000000}"/>
    <cellStyle name="Normal 20" xfId="19" xr:uid="{00000000-0005-0000-0000-00001A000000}"/>
    <cellStyle name="Normal 21" xfId="40" xr:uid="{00000000-0005-0000-0000-00001B000000}"/>
    <cellStyle name="Normal 22" xfId="21" xr:uid="{00000000-0005-0000-0000-00001C000000}"/>
    <cellStyle name="Normal 24" xfId="23" xr:uid="{00000000-0005-0000-0000-00001D000000}"/>
    <cellStyle name="Normal 25" xfId="24" xr:uid="{00000000-0005-0000-0000-00001E000000}"/>
    <cellStyle name="Normal 28" xfId="22" xr:uid="{00000000-0005-0000-0000-00001F000000}"/>
    <cellStyle name="Normal 29" xfId="20" xr:uid="{00000000-0005-0000-0000-000020000000}"/>
    <cellStyle name="Normal 3" xfId="36" xr:uid="{00000000-0005-0000-0000-000021000000}"/>
    <cellStyle name="Normal 30" xfId="44" xr:uid="{00000000-0005-0000-0000-000022000000}"/>
    <cellStyle name="Normal 31" xfId="46" xr:uid="{00000000-0005-0000-0000-000023000000}"/>
    <cellStyle name="Normal 4" xfId="8" xr:uid="{00000000-0005-0000-0000-000024000000}"/>
    <cellStyle name="Normal 4 2" xfId="10" xr:uid="{00000000-0005-0000-0000-000025000000}"/>
    <cellStyle name="Normal 4 23" xfId="25" xr:uid="{00000000-0005-0000-0000-000026000000}"/>
    <cellStyle name="Normal 4 3 2" xfId="16" xr:uid="{00000000-0005-0000-0000-000027000000}"/>
    <cellStyle name="Normal 4 4" xfId="14" xr:uid="{00000000-0005-0000-0000-000028000000}"/>
    <cellStyle name="Normal 4 5" xfId="43" xr:uid="{00000000-0005-0000-0000-000029000000}"/>
    <cellStyle name="Normal 4 7" xfId="11" xr:uid="{00000000-0005-0000-0000-00002A000000}"/>
    <cellStyle name="Normal 6" xfId="15" xr:uid="{00000000-0005-0000-0000-00002B000000}"/>
    <cellStyle name="Percent 2" xfId="37" xr:uid="{00000000-0005-0000-0000-00002C000000}"/>
    <cellStyle name="Percent 2 2" xfId="2" xr:uid="{00000000-0005-0000-0000-00002D000000}"/>
    <cellStyle name="Percent 3" xfId="38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S19"/>
  <sheetViews>
    <sheetView zoomScaleNormal="100" workbookViewId="0">
      <pane ySplit="7" topLeftCell="A8" activePane="bottomLeft" state="frozen"/>
      <selection pane="bottomLeft" activeCell="D14" sqref="D14"/>
    </sheetView>
  </sheetViews>
  <sheetFormatPr defaultRowHeight="15" x14ac:dyDescent="0.25"/>
  <cols>
    <col min="1" max="1" width="31.28515625" customWidth="1"/>
    <col min="2" max="2" width="15.5703125" customWidth="1"/>
    <col min="3" max="3" width="13.85546875" customWidth="1"/>
    <col min="4" max="4" width="22.42578125" bestFit="1" customWidth="1"/>
    <col min="5" max="5" width="22" bestFit="1" customWidth="1"/>
    <col min="6" max="6" width="17.28515625" customWidth="1"/>
    <col min="7" max="7" width="15.42578125" customWidth="1"/>
    <col min="8" max="8" width="20.7109375" bestFit="1" customWidth="1"/>
    <col min="9" max="9" width="10.28515625" bestFit="1" customWidth="1"/>
    <col min="10" max="11" width="18.28515625" bestFit="1" customWidth="1"/>
    <col min="12" max="12" width="17.85546875" bestFit="1" customWidth="1"/>
    <col min="13" max="13" width="18.28515625" bestFit="1" customWidth="1"/>
    <col min="14" max="14" width="19.140625" bestFit="1" customWidth="1"/>
    <col min="15" max="16" width="15" bestFit="1" customWidth="1"/>
    <col min="17" max="17" width="12.140625" bestFit="1" customWidth="1"/>
    <col min="18" max="18" width="14.140625" bestFit="1" customWidth="1"/>
    <col min="19" max="19" width="14.42578125" bestFit="1" customWidth="1"/>
  </cols>
  <sheetData>
    <row r="1" spans="1:19" s="3" customFormat="1" x14ac:dyDescent="0.25">
      <c r="A1" s="1" t="s">
        <v>70</v>
      </c>
      <c r="B1" s="1"/>
      <c r="D1" s="4"/>
      <c r="E1" s="4"/>
      <c r="F1" s="4"/>
      <c r="G1" s="4"/>
      <c r="H1" s="4"/>
    </row>
    <row r="2" spans="1:19" s="3" customFormat="1" ht="14.25" x14ac:dyDescent="0.2">
      <c r="A2" s="2" t="s">
        <v>71</v>
      </c>
      <c r="B2" s="2"/>
      <c r="D2" s="4"/>
      <c r="E2" s="4"/>
      <c r="F2" s="4"/>
      <c r="G2" s="4"/>
      <c r="H2" s="4"/>
    </row>
    <row r="3" spans="1:19" s="3" customFormat="1" ht="14.25" x14ac:dyDescent="0.2">
      <c r="A3" s="2" t="s">
        <v>72</v>
      </c>
      <c r="B3" s="2"/>
      <c r="D3" s="4"/>
      <c r="E3" s="4"/>
      <c r="F3" s="4"/>
      <c r="G3" s="4"/>
      <c r="H3" s="4"/>
    </row>
    <row r="4" spans="1:19" x14ac:dyDescent="0.25">
      <c r="A4" s="6"/>
      <c r="B4" s="6"/>
      <c r="C4" s="3"/>
      <c r="D4" s="4"/>
      <c r="E4" s="4"/>
      <c r="F4" s="4"/>
      <c r="G4" s="4"/>
      <c r="H4" s="4"/>
    </row>
    <row r="5" spans="1:19" x14ac:dyDescent="0.25">
      <c r="A5" s="34" t="s">
        <v>0</v>
      </c>
      <c r="B5" s="35" t="s">
        <v>88</v>
      </c>
      <c r="C5" s="36"/>
      <c r="D5" s="39" t="s">
        <v>1</v>
      </c>
      <c r="E5" s="40"/>
      <c r="F5" s="40"/>
      <c r="G5" s="40"/>
      <c r="H5" s="41"/>
    </row>
    <row r="6" spans="1:19" x14ac:dyDescent="0.25">
      <c r="A6" s="34"/>
      <c r="B6" s="37"/>
      <c r="C6" s="38"/>
      <c r="D6" s="42"/>
      <c r="E6" s="43"/>
      <c r="F6" s="43"/>
      <c r="G6" s="43"/>
      <c r="H6" s="44"/>
    </row>
    <row r="7" spans="1:19" ht="20.25" customHeight="1" x14ac:dyDescent="0.25">
      <c r="A7" s="34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5" t="s">
        <v>73</v>
      </c>
    </row>
    <row r="8" spans="1:19" x14ac:dyDescent="0.25">
      <c r="A8" s="32">
        <v>100000</v>
      </c>
      <c r="B8" s="19">
        <v>1</v>
      </c>
      <c r="C8" s="19">
        <v>20</v>
      </c>
      <c r="D8" s="5">
        <f>1042.5</f>
        <v>1042.5</v>
      </c>
      <c r="E8" s="5">
        <f>D8*12.5%</f>
        <v>130.3125</v>
      </c>
      <c r="F8" s="5">
        <f>D8*12%</f>
        <v>125.1</v>
      </c>
      <c r="G8" s="5">
        <f>D8*0.2%</f>
        <v>2.085</v>
      </c>
      <c r="H8" s="5">
        <f>SUM(D8:G8)</f>
        <v>1299.9974999999999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x14ac:dyDescent="0.25">
      <c r="A9" s="32">
        <v>200000</v>
      </c>
      <c r="B9" s="19">
        <v>21</v>
      </c>
      <c r="C9" s="19">
        <v>40</v>
      </c>
      <c r="D9" s="5">
        <f>1119.98</f>
        <v>1119.98</v>
      </c>
      <c r="E9" s="5">
        <f t="shared" ref="E9:E17" si="0">D9*12.5%</f>
        <v>139.9975</v>
      </c>
      <c r="F9" s="5">
        <f t="shared" ref="F9:F17" si="1">D9*12%</f>
        <v>134.39760000000001</v>
      </c>
      <c r="G9" s="5">
        <f t="shared" ref="G9:G17" si="2">D9*0.2%</f>
        <v>2.23996</v>
      </c>
      <c r="H9" s="5">
        <f t="shared" ref="H9:H17" si="3">SUM(D9:G9)</f>
        <v>1396.6150600000001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x14ac:dyDescent="0.25">
      <c r="A10" s="32">
        <v>300000</v>
      </c>
      <c r="B10" s="19">
        <v>41</v>
      </c>
      <c r="C10" s="19">
        <v>60</v>
      </c>
      <c r="D10" s="5">
        <f>1180.29</f>
        <v>1180.29</v>
      </c>
      <c r="E10" s="5">
        <f t="shared" si="0"/>
        <v>147.53625</v>
      </c>
      <c r="F10" s="5">
        <f t="shared" si="1"/>
        <v>141.63479999999998</v>
      </c>
      <c r="G10" s="5">
        <f t="shared" si="2"/>
        <v>2.3605800000000001</v>
      </c>
      <c r="H10" s="5">
        <f t="shared" si="3"/>
        <v>1471.8216300000001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x14ac:dyDescent="0.25">
      <c r="A11" s="32">
        <v>500000</v>
      </c>
      <c r="B11" s="19">
        <v>61</v>
      </c>
      <c r="C11" s="19">
        <v>100</v>
      </c>
      <c r="D11" s="5">
        <f>1241.65</f>
        <v>1241.6500000000001</v>
      </c>
      <c r="E11" s="5">
        <f t="shared" si="0"/>
        <v>155.20625000000001</v>
      </c>
      <c r="F11" s="5">
        <f t="shared" si="1"/>
        <v>148.99800000000002</v>
      </c>
      <c r="G11" s="5">
        <f t="shared" si="2"/>
        <v>2.4833000000000003</v>
      </c>
      <c r="H11" s="5">
        <f t="shared" si="3"/>
        <v>1548.3375500000002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x14ac:dyDescent="0.25">
      <c r="A12" s="32">
        <v>1000000</v>
      </c>
      <c r="B12" s="19">
        <v>101</v>
      </c>
      <c r="C12" s="19">
        <v>200</v>
      </c>
      <c r="D12" s="5">
        <f>1343.53</f>
        <v>1343.53</v>
      </c>
      <c r="E12" s="5">
        <f t="shared" si="0"/>
        <v>167.94125</v>
      </c>
      <c r="F12" s="5">
        <f t="shared" si="1"/>
        <v>161.2236</v>
      </c>
      <c r="G12" s="5">
        <f t="shared" si="2"/>
        <v>2.6870599999999998</v>
      </c>
      <c r="H12" s="5">
        <f t="shared" si="3"/>
        <v>1675.3819100000001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25">
      <c r="A13" s="32">
        <v>2000000</v>
      </c>
      <c r="B13" s="19">
        <v>201</v>
      </c>
      <c r="C13" s="19">
        <v>400</v>
      </c>
      <c r="D13" s="5">
        <f>1412.7</f>
        <v>1412.7</v>
      </c>
      <c r="E13" s="5">
        <f t="shared" si="0"/>
        <v>176.58750000000001</v>
      </c>
      <c r="F13" s="5">
        <f t="shared" si="1"/>
        <v>169.524</v>
      </c>
      <c r="G13" s="5">
        <f t="shared" si="2"/>
        <v>2.8254000000000001</v>
      </c>
      <c r="H13" s="5">
        <f t="shared" si="3"/>
        <v>1761.6369000000002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x14ac:dyDescent="0.25">
      <c r="A14" s="32">
        <v>3000000</v>
      </c>
      <c r="B14" s="19">
        <v>401</v>
      </c>
      <c r="C14" s="19">
        <v>600</v>
      </c>
      <c r="D14" s="5">
        <f>2945.47</f>
        <v>2945.47</v>
      </c>
      <c r="E14" s="5">
        <f t="shared" si="0"/>
        <v>368.18374999999997</v>
      </c>
      <c r="F14" s="5">
        <f t="shared" si="1"/>
        <v>353.45639999999997</v>
      </c>
      <c r="G14" s="5">
        <f t="shared" si="2"/>
        <v>5.8909399999999996</v>
      </c>
      <c r="H14" s="5">
        <f t="shared" si="3"/>
        <v>3673.0010899999997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x14ac:dyDescent="0.25">
      <c r="A15" s="32">
        <v>4000000</v>
      </c>
      <c r="B15" s="19">
        <v>601</v>
      </c>
      <c r="C15" s="19">
        <v>800</v>
      </c>
      <c r="D15" s="5">
        <f>3022.93</f>
        <v>3022.93</v>
      </c>
      <c r="E15" s="5">
        <f t="shared" si="0"/>
        <v>377.86624999999998</v>
      </c>
      <c r="F15" s="5">
        <f t="shared" si="1"/>
        <v>362.75159999999994</v>
      </c>
      <c r="G15" s="5">
        <f t="shared" si="2"/>
        <v>6.0458600000000002</v>
      </c>
      <c r="H15" s="5">
        <f t="shared" si="3"/>
        <v>3769.5937100000001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5">
      <c r="A16" s="32">
        <v>5000000</v>
      </c>
      <c r="B16" s="19">
        <v>801</v>
      </c>
      <c r="C16" s="19">
        <v>1000</v>
      </c>
      <c r="D16" s="5">
        <f>3099.28</f>
        <v>3099.28</v>
      </c>
      <c r="E16" s="5">
        <f t="shared" si="0"/>
        <v>387.41</v>
      </c>
      <c r="F16" s="5">
        <f t="shared" si="1"/>
        <v>371.91360000000003</v>
      </c>
      <c r="G16" s="5">
        <f t="shared" si="2"/>
        <v>6.1985600000000005</v>
      </c>
      <c r="H16" s="5">
        <f t="shared" si="3"/>
        <v>3864.8021599999997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x14ac:dyDescent="0.25">
      <c r="A17" s="32">
        <v>5000000</v>
      </c>
      <c r="B17" s="19">
        <v>1001</v>
      </c>
      <c r="C17" s="30" t="s">
        <v>90</v>
      </c>
      <c r="D17" s="5">
        <f>6200.25</f>
        <v>6200.25</v>
      </c>
      <c r="E17" s="5">
        <f t="shared" si="0"/>
        <v>775.03125</v>
      </c>
      <c r="F17" s="5">
        <f t="shared" si="1"/>
        <v>744.03</v>
      </c>
      <c r="G17" s="5">
        <f t="shared" si="2"/>
        <v>12.400500000000001</v>
      </c>
      <c r="H17" s="5">
        <f t="shared" si="3"/>
        <v>7731.7117499999995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9" spans="1:19" x14ac:dyDescent="0.25">
      <c r="E19" s="13"/>
    </row>
  </sheetData>
  <mergeCells count="3">
    <mergeCell ref="A5:A7"/>
    <mergeCell ref="B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9C5A-2B04-4D33-A5E5-6E360CA72AF2}">
  <sheetPr>
    <tabColor theme="8"/>
  </sheetPr>
  <dimension ref="A1:R20"/>
  <sheetViews>
    <sheetView zoomScaleNormal="100" workbookViewId="0">
      <pane ySplit="7" topLeftCell="A8" activePane="bottomLeft" state="frozen"/>
      <selection pane="bottomLeft"/>
    </sheetView>
  </sheetViews>
  <sheetFormatPr defaultRowHeight="15" x14ac:dyDescent="0.25"/>
  <cols>
    <col min="1" max="1" width="22" customWidth="1"/>
    <col min="2" max="2" width="15.5703125" customWidth="1"/>
    <col min="3" max="3" width="13.85546875" customWidth="1"/>
    <col min="4" max="4" width="18.42578125" customWidth="1"/>
    <col min="5" max="5" width="18" customWidth="1"/>
    <col min="6" max="6" width="13.5703125" customWidth="1"/>
    <col min="7" max="7" width="13.85546875" customWidth="1"/>
    <col min="8" max="8" width="17.5703125" customWidth="1"/>
    <col min="9" max="9" width="19.140625" customWidth="1"/>
    <col min="10" max="10" width="18.28515625" bestFit="1" customWidth="1"/>
    <col min="11" max="11" width="17.85546875" bestFit="1" customWidth="1"/>
    <col min="12" max="12" width="18.28515625" bestFit="1" customWidth="1"/>
    <col min="13" max="13" width="19.140625" bestFit="1" customWidth="1"/>
    <col min="14" max="15" width="15" bestFit="1" customWidth="1"/>
    <col min="16" max="16" width="12.140625" bestFit="1" customWidth="1"/>
    <col min="17" max="17" width="14.140625" bestFit="1" customWidth="1"/>
    <col min="18" max="18" width="14.42578125" bestFit="1" customWidth="1"/>
  </cols>
  <sheetData>
    <row r="1" spans="1:18" s="3" customFormat="1" x14ac:dyDescent="0.25">
      <c r="A1" s="1" t="s">
        <v>70</v>
      </c>
      <c r="B1" s="1"/>
      <c r="D1" s="4"/>
      <c r="E1" s="4"/>
      <c r="F1" s="4"/>
      <c r="G1" s="4"/>
      <c r="H1" s="4"/>
      <c r="I1" s="4"/>
    </row>
    <row r="2" spans="1:18" s="3" customFormat="1" ht="14.25" x14ac:dyDescent="0.2">
      <c r="A2" s="2" t="s">
        <v>71</v>
      </c>
      <c r="B2" s="2"/>
      <c r="D2" s="4"/>
      <c r="E2" s="4"/>
      <c r="F2" s="4"/>
      <c r="G2" s="4"/>
      <c r="H2" s="4"/>
      <c r="I2" s="4"/>
    </row>
    <row r="3" spans="1:18" s="3" customFormat="1" ht="14.25" x14ac:dyDescent="0.2">
      <c r="A3" s="2" t="s">
        <v>94</v>
      </c>
      <c r="B3" s="2"/>
      <c r="D3" s="4"/>
      <c r="E3" s="4"/>
      <c r="F3" s="4"/>
      <c r="G3" s="4"/>
      <c r="H3" s="4"/>
      <c r="I3" s="4"/>
    </row>
    <row r="4" spans="1:18" x14ac:dyDescent="0.25">
      <c r="A4" s="6"/>
      <c r="B4" s="6"/>
      <c r="C4" s="3"/>
      <c r="D4" s="4"/>
      <c r="E4" s="4"/>
      <c r="F4" s="4"/>
      <c r="G4" s="4"/>
      <c r="H4" s="4"/>
      <c r="I4" s="4"/>
    </row>
    <row r="5" spans="1:18" x14ac:dyDescent="0.25">
      <c r="A5" s="45" t="s">
        <v>0</v>
      </c>
      <c r="B5" s="35" t="s">
        <v>88</v>
      </c>
      <c r="C5" s="36"/>
      <c r="D5" s="39" t="s">
        <v>1</v>
      </c>
      <c r="E5" s="40"/>
      <c r="F5" s="40"/>
      <c r="G5" s="40"/>
      <c r="H5" s="40"/>
      <c r="I5" s="41"/>
    </row>
    <row r="6" spans="1:18" x14ac:dyDescent="0.25">
      <c r="A6" s="45"/>
      <c r="B6" s="37"/>
      <c r="C6" s="38"/>
      <c r="D6" s="42"/>
      <c r="E6" s="43"/>
      <c r="F6" s="43"/>
      <c r="G6" s="43"/>
      <c r="H6" s="43"/>
      <c r="I6" s="44"/>
    </row>
    <row r="7" spans="1:18" ht="33.75" customHeight="1" x14ac:dyDescent="0.25">
      <c r="A7" s="45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6" t="s">
        <v>91</v>
      </c>
      <c r="I7" s="25" t="s">
        <v>73</v>
      </c>
    </row>
    <row r="8" spans="1:18" x14ac:dyDescent="0.25">
      <c r="A8" s="31">
        <v>100000</v>
      </c>
      <c r="B8" s="19">
        <v>1</v>
      </c>
      <c r="C8" s="19">
        <v>20</v>
      </c>
      <c r="D8" s="5">
        <v>360.87</v>
      </c>
      <c r="E8" s="5">
        <f>D8*12.5%</f>
        <v>45.108750000000001</v>
      </c>
      <c r="F8" s="5">
        <f>D8*12%</f>
        <v>43.304400000000001</v>
      </c>
      <c r="G8" s="5">
        <f>D8*0.2%</f>
        <v>0.72174000000000005</v>
      </c>
      <c r="H8" s="5">
        <v>150</v>
      </c>
      <c r="I8" s="5">
        <f>SUM(D8:H8)</f>
        <v>600.00488999999993</v>
      </c>
      <c r="J8" s="17"/>
      <c r="K8" s="17"/>
      <c r="L8" s="17"/>
      <c r="M8" s="17"/>
      <c r="N8" s="17"/>
      <c r="O8" s="17"/>
      <c r="P8" s="17"/>
      <c r="Q8" s="17"/>
      <c r="R8" s="17"/>
    </row>
    <row r="9" spans="1:18" x14ac:dyDescent="0.25">
      <c r="A9" s="31">
        <v>250000</v>
      </c>
      <c r="B9" s="19">
        <v>21</v>
      </c>
      <c r="C9" s="19">
        <v>50</v>
      </c>
      <c r="D9" s="5">
        <v>681.63900000000001</v>
      </c>
      <c r="E9" s="5">
        <f t="shared" ref="E9:E15" si="0">D9*12.5%</f>
        <v>85.204875000000001</v>
      </c>
      <c r="F9" s="5">
        <f t="shared" ref="F9:F15" si="1">D9*12%</f>
        <v>81.796679999999995</v>
      </c>
      <c r="G9" s="5">
        <f t="shared" ref="G9:G15" si="2">D9*0.2%</f>
        <v>1.363278</v>
      </c>
      <c r="H9" s="5">
        <v>150</v>
      </c>
      <c r="I9" s="5">
        <f t="shared" ref="I9:I20" si="3">SUM(D9:H9)</f>
        <v>1000.0038330000001</v>
      </c>
      <c r="J9" s="17"/>
      <c r="K9" s="17"/>
      <c r="L9" s="17"/>
      <c r="M9" s="17"/>
      <c r="N9" s="17"/>
      <c r="O9" s="17"/>
      <c r="P9" s="17"/>
      <c r="Q9" s="17"/>
      <c r="R9" s="17"/>
    </row>
    <row r="10" spans="1:18" x14ac:dyDescent="0.25">
      <c r="A10" s="31">
        <v>500000</v>
      </c>
      <c r="B10" s="19">
        <v>51</v>
      </c>
      <c r="C10" s="19">
        <v>100</v>
      </c>
      <c r="D10" s="5">
        <v>1122.6980000000001</v>
      </c>
      <c r="E10" s="5">
        <f t="shared" si="0"/>
        <v>140.33725000000001</v>
      </c>
      <c r="F10" s="5">
        <f t="shared" si="1"/>
        <v>134.72376</v>
      </c>
      <c r="G10" s="5">
        <f t="shared" si="2"/>
        <v>2.2453960000000004</v>
      </c>
      <c r="H10" s="5">
        <v>150</v>
      </c>
      <c r="I10" s="5">
        <f t="shared" si="3"/>
        <v>1550.0044060000002</v>
      </c>
      <c r="J10" s="17"/>
      <c r="K10" s="17"/>
      <c r="L10" s="17"/>
      <c r="M10" s="17"/>
      <c r="N10" s="17"/>
      <c r="O10" s="17"/>
      <c r="P10" s="17"/>
      <c r="Q10" s="17"/>
      <c r="R10" s="17"/>
    </row>
    <row r="11" spans="1:18" x14ac:dyDescent="0.25">
      <c r="A11" s="31">
        <v>1000000</v>
      </c>
      <c r="B11" s="19">
        <v>101</v>
      </c>
      <c r="C11" s="19">
        <v>200</v>
      </c>
      <c r="D11" s="5">
        <v>2004.81</v>
      </c>
      <c r="E11" s="5">
        <f t="shared" si="0"/>
        <v>250.60124999999999</v>
      </c>
      <c r="F11" s="5">
        <f t="shared" si="1"/>
        <v>240.57719999999998</v>
      </c>
      <c r="G11" s="5">
        <f t="shared" si="2"/>
        <v>4.00962</v>
      </c>
      <c r="H11" s="5">
        <v>150</v>
      </c>
      <c r="I11" s="5">
        <f t="shared" si="3"/>
        <v>2649.9980700000001</v>
      </c>
      <c r="J11" s="17"/>
      <c r="K11" s="17"/>
      <c r="L11" s="17"/>
      <c r="M11" s="17"/>
      <c r="N11" s="17"/>
      <c r="O11" s="17"/>
      <c r="P11" s="17"/>
      <c r="Q11" s="17"/>
      <c r="R11" s="17"/>
    </row>
    <row r="12" spans="1:18" x14ac:dyDescent="0.25">
      <c r="A12" s="31">
        <v>1500000</v>
      </c>
      <c r="B12" s="19">
        <v>201</v>
      </c>
      <c r="C12" s="19">
        <v>300</v>
      </c>
      <c r="D12" s="5">
        <v>2766.6400000000003</v>
      </c>
      <c r="E12" s="5">
        <f t="shared" si="0"/>
        <v>345.83000000000004</v>
      </c>
      <c r="F12" s="5">
        <f t="shared" si="1"/>
        <v>331.99680000000001</v>
      </c>
      <c r="G12" s="5">
        <f t="shared" si="2"/>
        <v>5.5332800000000004</v>
      </c>
      <c r="H12" s="5">
        <v>150</v>
      </c>
      <c r="I12" s="5">
        <f t="shared" si="3"/>
        <v>3600.0000800000003</v>
      </c>
      <c r="J12" s="17"/>
      <c r="K12" s="17"/>
      <c r="L12" s="17"/>
      <c r="M12" s="17"/>
      <c r="N12" s="17"/>
      <c r="O12" s="17"/>
      <c r="P12" s="17"/>
      <c r="Q12" s="17"/>
      <c r="R12" s="17"/>
    </row>
    <row r="13" spans="1:18" x14ac:dyDescent="0.25">
      <c r="A13" s="31">
        <v>2000000</v>
      </c>
      <c r="B13" s="19">
        <v>301</v>
      </c>
      <c r="C13" s="19">
        <v>400</v>
      </c>
      <c r="D13" s="5">
        <v>3408.1800000000003</v>
      </c>
      <c r="E13" s="5">
        <f t="shared" si="0"/>
        <v>426.02250000000004</v>
      </c>
      <c r="F13" s="5">
        <f t="shared" si="1"/>
        <v>408.98160000000001</v>
      </c>
      <c r="G13" s="5">
        <f t="shared" si="2"/>
        <v>6.8163600000000004</v>
      </c>
      <c r="H13" s="5">
        <v>150</v>
      </c>
      <c r="I13" s="5">
        <f t="shared" si="3"/>
        <v>4400.0004600000002</v>
      </c>
      <c r="J13" s="17"/>
      <c r="K13" s="17"/>
      <c r="L13" s="17"/>
      <c r="M13" s="17"/>
      <c r="N13" s="17"/>
      <c r="O13" s="17"/>
      <c r="P13" s="17"/>
      <c r="Q13" s="17"/>
      <c r="R13" s="17"/>
    </row>
    <row r="14" spans="1:18" x14ac:dyDescent="0.25">
      <c r="A14" s="31">
        <v>2500000</v>
      </c>
      <c r="B14" s="19">
        <v>401</v>
      </c>
      <c r="C14" s="19">
        <v>500</v>
      </c>
      <c r="D14" s="5">
        <v>4009.62</v>
      </c>
      <c r="E14" s="5">
        <f t="shared" si="0"/>
        <v>501.20249999999999</v>
      </c>
      <c r="F14" s="5">
        <f t="shared" si="1"/>
        <v>481.15439999999995</v>
      </c>
      <c r="G14" s="5">
        <f t="shared" si="2"/>
        <v>8.0192399999999999</v>
      </c>
      <c r="H14" s="5">
        <v>150</v>
      </c>
      <c r="I14" s="5">
        <f t="shared" si="3"/>
        <v>5149.9961400000002</v>
      </c>
      <c r="J14" s="17"/>
      <c r="K14" s="17"/>
      <c r="L14" s="17"/>
      <c r="M14" s="17"/>
      <c r="N14" s="17"/>
      <c r="O14" s="17"/>
      <c r="P14" s="17"/>
      <c r="Q14" s="17"/>
      <c r="R14" s="17"/>
    </row>
    <row r="15" spans="1:18" x14ac:dyDescent="0.25">
      <c r="A15" s="31">
        <v>3000000</v>
      </c>
      <c r="B15" s="19">
        <v>501</v>
      </c>
      <c r="C15" s="19">
        <v>600</v>
      </c>
      <c r="D15" s="5">
        <v>4330.3900000000003</v>
      </c>
      <c r="E15" s="5">
        <f t="shared" si="0"/>
        <v>541.29875000000004</v>
      </c>
      <c r="F15" s="5">
        <f t="shared" si="1"/>
        <v>519.64679999999998</v>
      </c>
      <c r="G15" s="5">
        <f t="shared" si="2"/>
        <v>8.6607800000000008</v>
      </c>
      <c r="H15" s="5">
        <v>150</v>
      </c>
      <c r="I15" s="5">
        <f t="shared" si="3"/>
        <v>5549.9963299999999</v>
      </c>
      <c r="J15" s="17"/>
      <c r="K15" s="17"/>
      <c r="L15" s="17"/>
      <c r="M15" s="17"/>
      <c r="N15" s="17"/>
      <c r="O15" s="17"/>
      <c r="P15" s="17"/>
      <c r="Q15" s="17"/>
      <c r="R15" s="17"/>
    </row>
    <row r="16" spans="1:18" x14ac:dyDescent="0.25">
      <c r="A16" s="31">
        <v>3500000</v>
      </c>
      <c r="B16" s="19">
        <v>601</v>
      </c>
      <c r="C16" s="19">
        <v>700</v>
      </c>
      <c r="D16" s="5">
        <v>4570.97</v>
      </c>
      <c r="E16" s="5">
        <f t="shared" ref="E16:E19" si="4">D16*12.5%</f>
        <v>571.37125000000003</v>
      </c>
      <c r="F16" s="5">
        <f t="shared" ref="F16:F19" si="5">D16*12%</f>
        <v>548.51639999999998</v>
      </c>
      <c r="G16" s="5">
        <f t="shared" ref="G16:G19" si="6">D16*0.2%</f>
        <v>9.14194</v>
      </c>
      <c r="H16" s="5">
        <v>150</v>
      </c>
      <c r="I16" s="5">
        <f t="shared" si="3"/>
        <v>5849.9995900000004</v>
      </c>
      <c r="J16" s="17"/>
      <c r="K16" s="17"/>
      <c r="L16" s="17"/>
      <c r="M16" s="17"/>
      <c r="N16" s="17"/>
      <c r="O16" s="17"/>
      <c r="P16" s="17"/>
      <c r="Q16" s="17"/>
      <c r="R16" s="17"/>
    </row>
    <row r="17" spans="1:18" x14ac:dyDescent="0.25">
      <c r="A17" s="31">
        <v>4000000</v>
      </c>
      <c r="B17" s="19">
        <v>701</v>
      </c>
      <c r="C17" s="19">
        <v>800</v>
      </c>
      <c r="D17" s="5">
        <v>4811.55</v>
      </c>
      <c r="E17" s="5">
        <f t="shared" si="4"/>
        <v>601.44375000000002</v>
      </c>
      <c r="F17" s="5">
        <f t="shared" si="5"/>
        <v>577.38599999999997</v>
      </c>
      <c r="G17" s="5">
        <f t="shared" si="6"/>
        <v>9.6231000000000009</v>
      </c>
      <c r="H17" s="5">
        <v>150</v>
      </c>
      <c r="I17" s="5">
        <f t="shared" si="3"/>
        <v>6150.0028499999999</v>
      </c>
      <c r="J17" s="17"/>
      <c r="K17" s="17"/>
      <c r="L17" s="17"/>
      <c r="M17" s="17"/>
      <c r="N17" s="17"/>
      <c r="O17" s="17"/>
      <c r="P17" s="17"/>
      <c r="Q17" s="17"/>
      <c r="R17" s="17"/>
    </row>
    <row r="18" spans="1:18" x14ac:dyDescent="0.25">
      <c r="A18" s="31">
        <v>4500000</v>
      </c>
      <c r="B18" s="19">
        <v>801</v>
      </c>
      <c r="C18" s="19">
        <v>900</v>
      </c>
      <c r="D18" s="5">
        <v>5052.1289999999999</v>
      </c>
      <c r="E18" s="5">
        <f t="shared" si="4"/>
        <v>631.51612499999999</v>
      </c>
      <c r="F18" s="5">
        <f t="shared" si="5"/>
        <v>606.25547999999992</v>
      </c>
      <c r="G18" s="5">
        <f t="shared" si="6"/>
        <v>10.104258</v>
      </c>
      <c r="H18" s="5">
        <v>150</v>
      </c>
      <c r="I18" s="5">
        <f t="shared" si="3"/>
        <v>6450.0048630000001</v>
      </c>
    </row>
    <row r="19" spans="1:18" x14ac:dyDescent="0.25">
      <c r="A19" s="31">
        <v>5000000</v>
      </c>
      <c r="B19" s="19">
        <v>901</v>
      </c>
      <c r="C19" s="19">
        <v>1000</v>
      </c>
      <c r="D19" s="5">
        <v>5292.7</v>
      </c>
      <c r="E19" s="5">
        <f t="shared" si="4"/>
        <v>661.58749999999998</v>
      </c>
      <c r="F19" s="5">
        <f t="shared" si="5"/>
        <v>635.12399999999991</v>
      </c>
      <c r="G19" s="5">
        <f t="shared" si="6"/>
        <v>10.5854</v>
      </c>
      <c r="H19" s="5">
        <v>150</v>
      </c>
      <c r="I19" s="5">
        <f t="shared" si="3"/>
        <v>6749.9968999999992</v>
      </c>
    </row>
    <row r="20" spans="1:18" x14ac:dyDescent="0.25">
      <c r="A20" s="31">
        <v>5500000</v>
      </c>
      <c r="B20" s="19">
        <v>1001</v>
      </c>
      <c r="C20" s="30" t="s">
        <v>90</v>
      </c>
      <c r="D20" s="5">
        <v>5613.47</v>
      </c>
      <c r="E20" s="5">
        <f>D20*12.5%</f>
        <v>701.68375000000003</v>
      </c>
      <c r="F20" s="5">
        <f>D20*12%</f>
        <v>673.6164</v>
      </c>
      <c r="G20" s="5">
        <f>D20*0.2%</f>
        <v>11.226940000000001</v>
      </c>
      <c r="H20" s="5">
        <v>150</v>
      </c>
      <c r="I20" s="5">
        <f t="shared" si="3"/>
        <v>7149.9970899999998</v>
      </c>
    </row>
  </sheetData>
  <mergeCells count="3">
    <mergeCell ref="A5:A7"/>
    <mergeCell ref="B5:C6"/>
    <mergeCell ref="D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3505-FE3B-4971-A1DD-7421FEE4F540}">
  <sheetPr>
    <tabColor theme="8"/>
  </sheetPr>
  <dimension ref="A1:Q31"/>
  <sheetViews>
    <sheetView zoomScaleNormal="100" workbookViewId="0">
      <pane ySplit="7" topLeftCell="A8" activePane="bottomLeft" state="frozen"/>
      <selection pane="bottomLeft" activeCell="A30" sqref="A30"/>
    </sheetView>
  </sheetViews>
  <sheetFormatPr defaultRowHeight="15" x14ac:dyDescent="0.25"/>
  <cols>
    <col min="1" max="1" width="22.7109375" customWidth="1"/>
    <col min="2" max="2" width="13.28515625" customWidth="1"/>
    <col min="3" max="3" width="11.7109375" customWidth="1"/>
    <col min="4" max="4" width="20.140625" customWidth="1"/>
    <col min="5" max="5" width="19.28515625" customWidth="1"/>
    <col min="6" max="6" width="16.42578125" customWidth="1"/>
    <col min="7" max="7" width="15.42578125" customWidth="1"/>
    <col min="8" max="8" width="18.42578125" customWidth="1"/>
    <col min="9" max="9" width="18.28515625" bestFit="1" customWidth="1"/>
    <col min="10" max="10" width="17.85546875" bestFit="1" customWidth="1"/>
    <col min="11" max="11" width="18.28515625" bestFit="1" customWidth="1"/>
    <col min="12" max="12" width="19.140625" bestFit="1" customWidth="1"/>
    <col min="13" max="14" width="15" bestFit="1" customWidth="1"/>
    <col min="15" max="15" width="12.140625" bestFit="1" customWidth="1"/>
    <col min="16" max="16" width="14.140625" bestFit="1" customWidth="1"/>
    <col min="17" max="17" width="14.42578125" bestFit="1" customWidth="1"/>
  </cols>
  <sheetData>
    <row r="1" spans="1:17" s="3" customFormat="1" x14ac:dyDescent="0.25">
      <c r="A1" s="1" t="s">
        <v>70</v>
      </c>
      <c r="B1" s="1"/>
      <c r="D1" s="4"/>
      <c r="E1" s="4"/>
      <c r="F1" s="4"/>
      <c r="G1" s="4"/>
      <c r="H1" s="4"/>
    </row>
    <row r="2" spans="1:17" s="3" customFormat="1" ht="14.25" x14ac:dyDescent="0.2">
      <c r="A2" s="2" t="s">
        <v>71</v>
      </c>
      <c r="B2" s="2"/>
      <c r="D2" s="4"/>
      <c r="E2" s="4"/>
      <c r="F2" s="4"/>
      <c r="G2" s="4"/>
      <c r="H2" s="4"/>
    </row>
    <row r="3" spans="1:17" s="3" customFormat="1" ht="14.25" x14ac:dyDescent="0.2">
      <c r="A3" s="2" t="s">
        <v>95</v>
      </c>
      <c r="B3" s="2"/>
      <c r="D3" s="4"/>
      <c r="E3" s="4"/>
      <c r="F3" s="4"/>
      <c r="G3" s="4"/>
      <c r="H3" s="4"/>
    </row>
    <row r="4" spans="1:17" x14ac:dyDescent="0.25">
      <c r="A4" s="6"/>
      <c r="B4" s="6"/>
      <c r="C4" s="3"/>
      <c r="D4" s="4"/>
      <c r="E4" s="4"/>
      <c r="F4" s="4"/>
      <c r="G4" s="4"/>
      <c r="H4" s="4"/>
    </row>
    <row r="5" spans="1:17" x14ac:dyDescent="0.25">
      <c r="A5" s="45" t="s">
        <v>0</v>
      </c>
      <c r="B5" s="35" t="s">
        <v>88</v>
      </c>
      <c r="C5" s="36"/>
      <c r="D5" s="39" t="s">
        <v>1</v>
      </c>
      <c r="E5" s="40"/>
      <c r="F5" s="40"/>
      <c r="G5" s="40"/>
      <c r="H5" s="41"/>
    </row>
    <row r="6" spans="1:17" ht="9.75" customHeight="1" x14ac:dyDescent="0.25">
      <c r="A6" s="45"/>
      <c r="B6" s="37"/>
      <c r="C6" s="38"/>
      <c r="D6" s="42"/>
      <c r="E6" s="43"/>
      <c r="F6" s="43"/>
      <c r="G6" s="43"/>
      <c r="H6" s="44"/>
    </row>
    <row r="7" spans="1:17" ht="20.25" customHeight="1" x14ac:dyDescent="0.25">
      <c r="A7" s="45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5" t="s">
        <v>73</v>
      </c>
    </row>
    <row r="8" spans="1:17" x14ac:dyDescent="0.25">
      <c r="A8" s="31">
        <v>100000</v>
      </c>
      <c r="B8" s="19">
        <v>1</v>
      </c>
      <c r="C8" s="19">
        <v>20</v>
      </c>
      <c r="D8" s="5">
        <v>678.18999999999994</v>
      </c>
      <c r="E8" s="5">
        <f>D8*12.5%</f>
        <v>84.773749999999993</v>
      </c>
      <c r="F8" s="5">
        <f>D8*12%</f>
        <v>81.382799999999989</v>
      </c>
      <c r="G8" s="5">
        <f>D8*0.2%</f>
        <v>1.3563799999999999</v>
      </c>
      <c r="H8" s="5">
        <f>SUM(D8:G8)</f>
        <v>845.70292999999981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31">
        <v>250000</v>
      </c>
      <c r="B9" s="19">
        <v>21</v>
      </c>
      <c r="C9" s="19">
        <v>50</v>
      </c>
      <c r="D9" s="5">
        <v>1050.2800000000002</v>
      </c>
      <c r="E9" s="5">
        <f t="shared" ref="E9:E13" si="0">D9*12.5%</f>
        <v>131.28500000000003</v>
      </c>
      <c r="F9" s="5">
        <f t="shared" ref="F9:F13" si="1">D9*12%</f>
        <v>126.03360000000002</v>
      </c>
      <c r="G9" s="5">
        <f t="shared" ref="G9:G13" si="2">D9*0.2%</f>
        <v>2.1005600000000006</v>
      </c>
      <c r="H9" s="5">
        <f t="shared" ref="H9:H14" si="3">SUM(D9:G9)</f>
        <v>1309.6991600000003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31">
        <v>500000</v>
      </c>
      <c r="B10" s="19">
        <v>51</v>
      </c>
      <c r="C10" s="19">
        <v>100</v>
      </c>
      <c r="D10" s="5">
        <v>1777.0640000000001</v>
      </c>
      <c r="E10" s="5">
        <f t="shared" si="0"/>
        <v>222.13300000000001</v>
      </c>
      <c r="F10" s="5">
        <f t="shared" si="1"/>
        <v>213.24768</v>
      </c>
      <c r="G10" s="5">
        <f t="shared" si="2"/>
        <v>3.5541280000000004</v>
      </c>
      <c r="H10" s="5">
        <f t="shared" si="3"/>
        <v>2215.9988080000003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31">
        <v>1000000</v>
      </c>
      <c r="B11" s="19">
        <v>101</v>
      </c>
      <c r="C11" s="19">
        <v>200</v>
      </c>
      <c r="D11" s="5">
        <v>2714.5149999999999</v>
      </c>
      <c r="E11" s="5">
        <f t="shared" si="0"/>
        <v>339.31437499999998</v>
      </c>
      <c r="F11" s="5">
        <f t="shared" si="1"/>
        <v>325.74179999999996</v>
      </c>
      <c r="G11" s="5">
        <f t="shared" si="2"/>
        <v>5.42903</v>
      </c>
      <c r="H11" s="5">
        <f t="shared" si="3"/>
        <v>3385.0002049999994</v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25">
      <c r="A12" s="31">
        <v>2500000</v>
      </c>
      <c r="B12" s="19">
        <v>201</v>
      </c>
      <c r="C12" s="19">
        <v>500</v>
      </c>
      <c r="D12" s="5">
        <v>4303.03</v>
      </c>
      <c r="E12" s="5">
        <f t="shared" si="0"/>
        <v>537.87874999999997</v>
      </c>
      <c r="F12" s="5">
        <f t="shared" si="1"/>
        <v>516.36359999999991</v>
      </c>
      <c r="G12" s="5">
        <f t="shared" si="2"/>
        <v>8.6060599999999994</v>
      </c>
      <c r="H12" s="5">
        <f t="shared" si="3"/>
        <v>5365.8784099999993</v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31">
        <v>5000000</v>
      </c>
      <c r="B13" s="19">
        <v>501</v>
      </c>
      <c r="C13" s="19">
        <v>1000</v>
      </c>
      <c r="D13" s="5">
        <v>6844.8200000000006</v>
      </c>
      <c r="E13" s="5">
        <f t="shared" si="0"/>
        <v>855.60250000000008</v>
      </c>
      <c r="F13" s="5">
        <f t="shared" si="1"/>
        <v>821.37840000000006</v>
      </c>
      <c r="G13" s="5">
        <f t="shared" si="2"/>
        <v>13.689640000000001</v>
      </c>
      <c r="H13" s="5">
        <f t="shared" si="3"/>
        <v>8535.4905400000007</v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25">
      <c r="A14" s="31">
        <v>5500000</v>
      </c>
      <c r="B14" s="19">
        <v>1001</v>
      </c>
      <c r="C14" s="19" t="s">
        <v>90</v>
      </c>
      <c r="D14" s="5">
        <v>9835.6039999999994</v>
      </c>
      <c r="E14" s="5">
        <f>D14*12.5%</f>
        <v>1229.4504999999999</v>
      </c>
      <c r="F14" s="5">
        <f>D14*12%</f>
        <v>1180.2724799999999</v>
      </c>
      <c r="G14" s="5">
        <f>D14*0.2%</f>
        <v>19.671208</v>
      </c>
      <c r="H14" s="5">
        <f t="shared" si="3"/>
        <v>12264.998187999998</v>
      </c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E15" s="13"/>
    </row>
    <row r="16" spans="1:17" x14ac:dyDescent="0.25">
      <c r="A16" s="1" t="s">
        <v>70</v>
      </c>
    </row>
    <row r="17" spans="1:8" x14ac:dyDescent="0.25">
      <c r="A17" s="2" t="s">
        <v>71</v>
      </c>
    </row>
    <row r="18" spans="1:8" x14ac:dyDescent="0.25">
      <c r="A18" s="2" t="s">
        <v>96</v>
      </c>
    </row>
    <row r="20" spans="1:8" x14ac:dyDescent="0.25">
      <c r="A20" s="45" t="s">
        <v>0</v>
      </c>
      <c r="B20" s="35" t="s">
        <v>88</v>
      </c>
      <c r="C20" s="36"/>
      <c r="D20" s="39" t="s">
        <v>1</v>
      </c>
      <c r="E20" s="40"/>
      <c r="F20" s="40"/>
      <c r="G20" s="40"/>
      <c r="H20" s="41"/>
    </row>
    <row r="21" spans="1:8" x14ac:dyDescent="0.25">
      <c r="A21" s="45"/>
      <c r="B21" s="37"/>
      <c r="C21" s="38"/>
      <c r="D21" s="42"/>
      <c r="E21" s="43"/>
      <c r="F21" s="43"/>
      <c r="G21" s="43"/>
      <c r="H21" s="44"/>
    </row>
    <row r="22" spans="1:8" x14ac:dyDescent="0.25">
      <c r="A22" s="45"/>
      <c r="B22" s="18" t="s">
        <v>85</v>
      </c>
      <c r="C22" s="24" t="s">
        <v>86</v>
      </c>
      <c r="D22" s="25" t="s">
        <v>76</v>
      </c>
      <c r="E22" s="25" t="s">
        <v>74</v>
      </c>
      <c r="F22" s="25" t="s">
        <v>89</v>
      </c>
      <c r="G22" s="25" t="s">
        <v>75</v>
      </c>
      <c r="H22" s="25" t="s">
        <v>73</v>
      </c>
    </row>
    <row r="23" spans="1:8" x14ac:dyDescent="0.25">
      <c r="A23" s="31">
        <v>250000</v>
      </c>
      <c r="B23" s="27">
        <v>1</v>
      </c>
      <c r="C23" s="27">
        <v>20</v>
      </c>
      <c r="D23" s="5">
        <v>1967.12</v>
      </c>
      <c r="E23" s="5">
        <f t="shared" ref="E23" si="4">D23*12.5%</f>
        <v>245.89</v>
      </c>
      <c r="F23" s="5">
        <f t="shared" ref="F23" si="5">D23*12%</f>
        <v>236.05439999999999</v>
      </c>
      <c r="G23" s="5">
        <f t="shared" ref="G23" si="6">D23*0.2%</f>
        <v>3.93424</v>
      </c>
      <c r="H23" s="5">
        <f t="shared" ref="H23" si="7">SUM(D23:G23)</f>
        <v>2452.9986399999998</v>
      </c>
    </row>
    <row r="24" spans="1:8" x14ac:dyDescent="0.25">
      <c r="A24" s="31">
        <v>500000</v>
      </c>
      <c r="B24" s="27">
        <v>21</v>
      </c>
      <c r="C24" s="27">
        <v>50</v>
      </c>
      <c r="D24" s="5">
        <v>3688.35</v>
      </c>
      <c r="E24" s="5">
        <f t="shared" ref="E24" si="8">D24*12.5%</f>
        <v>461.04374999999999</v>
      </c>
      <c r="F24" s="5">
        <f t="shared" ref="F24" si="9">D24*12%</f>
        <v>442.60199999999998</v>
      </c>
      <c r="G24" s="5">
        <f t="shared" ref="G24" si="10">D24*0.2%</f>
        <v>7.3766999999999996</v>
      </c>
      <c r="H24" s="5">
        <f t="shared" ref="H24" si="11">SUM(D24:G24)</f>
        <v>4599.3724499999998</v>
      </c>
    </row>
    <row r="25" spans="1:8" x14ac:dyDescent="0.25">
      <c r="A25" s="31">
        <v>1000000</v>
      </c>
      <c r="B25" s="27">
        <v>51</v>
      </c>
      <c r="C25" s="27">
        <v>100</v>
      </c>
      <c r="D25" s="5">
        <v>5901.36</v>
      </c>
      <c r="E25" s="5">
        <f t="shared" ref="E25" si="12">D25*12.5%</f>
        <v>737.67</v>
      </c>
      <c r="F25" s="5">
        <f t="shared" ref="F25" si="13">D25*12%</f>
        <v>708.16319999999996</v>
      </c>
      <c r="G25" s="5">
        <f t="shared" ref="G25" si="14">D25*0.2%</f>
        <v>11.802719999999999</v>
      </c>
      <c r="H25" s="5">
        <f t="shared" ref="H25" si="15">SUM(D25:G25)</f>
        <v>7358.9959199999994</v>
      </c>
    </row>
    <row r="26" spans="1:8" x14ac:dyDescent="0.25">
      <c r="A26" s="31">
        <v>2000000</v>
      </c>
      <c r="B26" s="27">
        <v>101</v>
      </c>
      <c r="C26" s="27">
        <v>200</v>
      </c>
      <c r="D26" s="5">
        <v>8852.0480000000007</v>
      </c>
      <c r="E26" s="5">
        <f t="shared" ref="E26" si="16">D26*12.5%</f>
        <v>1106.5060000000001</v>
      </c>
      <c r="F26" s="5">
        <f t="shared" ref="F26" si="17">D26*12%</f>
        <v>1062.24576</v>
      </c>
      <c r="G26" s="5">
        <f t="shared" ref="G26" si="18">D26*0.2%</f>
        <v>17.704096000000003</v>
      </c>
      <c r="H26" s="5">
        <f t="shared" ref="H26" si="19">SUM(D26:G26)</f>
        <v>11038.503855999999</v>
      </c>
    </row>
    <row r="27" spans="1:8" x14ac:dyDescent="0.25">
      <c r="A27" s="31">
        <v>3000000</v>
      </c>
      <c r="B27" s="27">
        <v>201</v>
      </c>
      <c r="C27" s="27">
        <v>500</v>
      </c>
      <c r="D27" s="5">
        <v>11801.12</v>
      </c>
      <c r="E27" s="5">
        <f t="shared" ref="E27" si="20">D27*12.5%</f>
        <v>1475.14</v>
      </c>
      <c r="F27" s="5">
        <f t="shared" ref="F27" si="21">D27*12%</f>
        <v>1416.1344000000001</v>
      </c>
      <c r="G27" s="5">
        <f t="shared" ref="G27" si="22">D27*0.2%</f>
        <v>23.602240000000002</v>
      </c>
      <c r="H27" s="5">
        <f t="shared" ref="H27" si="23">SUM(D27:G27)</f>
        <v>14715.996640000001</v>
      </c>
    </row>
    <row r="28" spans="1:8" x14ac:dyDescent="0.25">
      <c r="A28" s="31">
        <v>4000000</v>
      </c>
      <c r="B28" s="27">
        <v>501</v>
      </c>
      <c r="C28" s="27">
        <v>1000</v>
      </c>
      <c r="D28" s="5">
        <v>14753.41</v>
      </c>
      <c r="E28" s="5">
        <f t="shared" ref="E28" si="24">D28*12.5%</f>
        <v>1844.17625</v>
      </c>
      <c r="F28" s="5">
        <f t="shared" ref="F28" si="25">D28*12%</f>
        <v>1770.4091999999998</v>
      </c>
      <c r="G28" s="5">
        <f t="shared" ref="G28" si="26">D28*0.2%</f>
        <v>29.506820000000001</v>
      </c>
      <c r="H28" s="5">
        <f t="shared" ref="H28" si="27">SUM(D28:G28)</f>
        <v>18397.502269999997</v>
      </c>
    </row>
    <row r="29" spans="1:8" x14ac:dyDescent="0.25">
      <c r="A29" s="31">
        <v>5000000</v>
      </c>
      <c r="B29" s="28">
        <v>1001</v>
      </c>
      <c r="C29" s="29" t="s">
        <v>90</v>
      </c>
      <c r="D29" s="5">
        <v>17212.310000000001</v>
      </c>
      <c r="E29" s="5">
        <f t="shared" ref="E29" si="28">D29*12.5%</f>
        <v>2151.5387500000002</v>
      </c>
      <c r="F29" s="5">
        <f t="shared" ref="F29" si="29">D29*12%</f>
        <v>2065.4772000000003</v>
      </c>
      <c r="G29" s="5">
        <f t="shared" ref="G29" si="30">D29*0.2%</f>
        <v>34.424620000000004</v>
      </c>
      <c r="H29" s="5">
        <f t="shared" ref="H29" si="31">SUM(D29:G29)</f>
        <v>21463.750570000004</v>
      </c>
    </row>
    <row r="31" spans="1:8" x14ac:dyDescent="0.25">
      <c r="G31" t="s">
        <v>97</v>
      </c>
    </row>
  </sheetData>
  <mergeCells count="6">
    <mergeCell ref="A5:A7"/>
    <mergeCell ref="B5:C6"/>
    <mergeCell ref="D5:H6"/>
    <mergeCell ref="A20:A22"/>
    <mergeCell ref="B20:C21"/>
    <mergeCell ref="D20:H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B595-8FCF-4B03-900F-8D81558E8B6D}">
  <dimension ref="A1:H61"/>
  <sheetViews>
    <sheetView topLeftCell="A3" workbookViewId="0">
      <selection activeCell="H61" sqref="H61"/>
    </sheetView>
  </sheetViews>
  <sheetFormatPr defaultRowHeight="15" x14ac:dyDescent="0.25"/>
  <cols>
    <col min="1" max="1" width="17.85546875" style="23" customWidth="1"/>
    <col min="2" max="2" width="17.140625" style="23" customWidth="1"/>
    <col min="3" max="3" width="15" style="23" customWidth="1"/>
    <col min="4" max="4" width="15.28515625" style="23" customWidth="1"/>
    <col min="5" max="5" width="12.7109375" style="23" customWidth="1"/>
    <col min="6" max="6" width="14.5703125" style="23" customWidth="1"/>
    <col min="7" max="7" width="12" style="23" customWidth="1"/>
    <col min="8" max="8" width="17.42578125" style="23" customWidth="1"/>
  </cols>
  <sheetData>
    <row r="1" spans="1:8" x14ac:dyDescent="0.25">
      <c r="A1" s="1" t="s">
        <v>70</v>
      </c>
    </row>
    <row r="2" spans="1:8" x14ac:dyDescent="0.25">
      <c r="A2" s="2" t="s">
        <v>71</v>
      </c>
    </row>
    <row r="3" spans="1:8" x14ac:dyDescent="0.25">
      <c r="A3" s="2" t="s">
        <v>84</v>
      </c>
    </row>
    <row r="4" spans="1:8" x14ac:dyDescent="0.25">
      <c r="A4" s="46"/>
      <c r="B4" s="46"/>
      <c r="C4" s="46"/>
      <c r="D4" s="46"/>
      <c r="E4" s="46"/>
      <c r="F4" s="46"/>
      <c r="G4" s="46"/>
      <c r="H4" s="46"/>
    </row>
    <row r="5" spans="1:8" ht="27.75" customHeight="1" x14ac:dyDescent="0.25">
      <c r="A5" s="48" t="s">
        <v>78</v>
      </c>
      <c r="B5" s="47" t="s">
        <v>77</v>
      </c>
      <c r="C5" s="47"/>
      <c r="D5" s="48" t="s">
        <v>79</v>
      </c>
      <c r="E5" s="48" t="s">
        <v>80</v>
      </c>
      <c r="F5" s="48" t="s">
        <v>81</v>
      </c>
      <c r="G5" s="48" t="s">
        <v>82</v>
      </c>
      <c r="H5" s="50" t="s">
        <v>73</v>
      </c>
    </row>
    <row r="6" spans="1:8" ht="12.75" customHeight="1" x14ac:dyDescent="0.25">
      <c r="A6" s="49"/>
      <c r="B6" s="20" t="s">
        <v>85</v>
      </c>
      <c r="C6" s="20" t="s">
        <v>86</v>
      </c>
      <c r="D6" s="49"/>
      <c r="E6" s="49"/>
      <c r="F6" s="49"/>
      <c r="G6" s="49"/>
      <c r="H6" s="51"/>
    </row>
    <row r="7" spans="1:8" x14ac:dyDescent="0.25">
      <c r="A7" s="33">
        <v>300000</v>
      </c>
      <c r="B7" s="21">
        <v>1</v>
      </c>
      <c r="C7" s="21">
        <v>20</v>
      </c>
      <c r="D7" s="22">
        <v>900</v>
      </c>
      <c r="E7" s="22">
        <f>D7*12.5%</f>
        <v>112.5</v>
      </c>
      <c r="F7" s="22">
        <f>D7*12%</f>
        <v>108</v>
      </c>
      <c r="G7" s="22">
        <f>D7*0.2%</f>
        <v>1.8</v>
      </c>
      <c r="H7" s="22">
        <f>D7+E7+F7+G7</f>
        <v>1122.3</v>
      </c>
    </row>
    <row r="8" spans="1:8" x14ac:dyDescent="0.25">
      <c r="A8" s="33">
        <v>450000</v>
      </c>
      <c r="B8" s="21">
        <v>21</v>
      </c>
      <c r="C8" s="21">
        <v>40</v>
      </c>
      <c r="D8" s="22">
        <v>1350</v>
      </c>
      <c r="E8" s="22">
        <f t="shared" ref="E8:E61" si="0">D8*12.5%</f>
        <v>168.75</v>
      </c>
      <c r="F8" s="22">
        <f t="shared" ref="F8:F61" si="1">D8*12%</f>
        <v>162</v>
      </c>
      <c r="G8" s="22">
        <f t="shared" ref="G8:G61" si="2">D8*0.2%</f>
        <v>2.7</v>
      </c>
      <c r="H8" s="22">
        <f t="shared" ref="H8:H61" si="3">D8+E8+F8+G8</f>
        <v>1683.45</v>
      </c>
    </row>
    <row r="9" spans="1:8" x14ac:dyDescent="0.25">
      <c r="A9" s="33">
        <v>600000</v>
      </c>
      <c r="B9" s="21">
        <v>41</v>
      </c>
      <c r="C9" s="21">
        <v>60</v>
      </c>
      <c r="D9" s="22">
        <v>1800</v>
      </c>
      <c r="E9" s="22">
        <f t="shared" si="0"/>
        <v>225</v>
      </c>
      <c r="F9" s="22">
        <f t="shared" si="1"/>
        <v>216</v>
      </c>
      <c r="G9" s="22">
        <f t="shared" si="2"/>
        <v>3.6</v>
      </c>
      <c r="H9" s="22">
        <f t="shared" si="3"/>
        <v>2244.6</v>
      </c>
    </row>
    <row r="10" spans="1:8" x14ac:dyDescent="0.25">
      <c r="A10" s="33">
        <v>750000</v>
      </c>
      <c r="B10" s="21">
        <v>61</v>
      </c>
      <c r="C10" s="21">
        <v>80</v>
      </c>
      <c r="D10" s="22">
        <v>2250</v>
      </c>
      <c r="E10" s="22">
        <f t="shared" si="0"/>
        <v>281.25</v>
      </c>
      <c r="F10" s="22">
        <f t="shared" si="1"/>
        <v>270</v>
      </c>
      <c r="G10" s="22">
        <f t="shared" si="2"/>
        <v>4.5</v>
      </c>
      <c r="H10" s="22">
        <f t="shared" si="3"/>
        <v>2805.75</v>
      </c>
    </row>
    <row r="11" spans="1:8" x14ac:dyDescent="0.25">
      <c r="A11" s="33">
        <v>900000</v>
      </c>
      <c r="B11" s="21">
        <v>81</v>
      </c>
      <c r="C11" s="21">
        <v>100</v>
      </c>
      <c r="D11" s="22">
        <v>2565</v>
      </c>
      <c r="E11" s="22">
        <f t="shared" si="0"/>
        <v>320.625</v>
      </c>
      <c r="F11" s="22">
        <f t="shared" si="1"/>
        <v>307.8</v>
      </c>
      <c r="G11" s="22">
        <f t="shared" si="2"/>
        <v>5.13</v>
      </c>
      <c r="H11" s="22">
        <f t="shared" si="3"/>
        <v>3198.5550000000003</v>
      </c>
    </row>
    <row r="12" spans="1:8" x14ac:dyDescent="0.25">
      <c r="A12" s="33">
        <v>962500</v>
      </c>
      <c r="B12" s="21">
        <v>101</v>
      </c>
      <c r="C12" s="21">
        <v>120</v>
      </c>
      <c r="D12" s="22">
        <v>2743.13</v>
      </c>
      <c r="E12" s="22">
        <f t="shared" si="0"/>
        <v>342.89125000000001</v>
      </c>
      <c r="F12" s="22">
        <f t="shared" si="1"/>
        <v>329.17559999999997</v>
      </c>
      <c r="G12" s="22">
        <f t="shared" si="2"/>
        <v>5.4862600000000006</v>
      </c>
      <c r="H12" s="22">
        <f t="shared" si="3"/>
        <v>3420.6831100000004</v>
      </c>
    </row>
    <row r="13" spans="1:8" x14ac:dyDescent="0.25">
      <c r="A13" s="33">
        <v>1087500</v>
      </c>
      <c r="B13" s="21">
        <v>121</v>
      </c>
      <c r="C13" s="21">
        <v>140</v>
      </c>
      <c r="D13" s="22">
        <v>3099.38</v>
      </c>
      <c r="E13" s="22">
        <f t="shared" si="0"/>
        <v>387.42250000000001</v>
      </c>
      <c r="F13" s="22">
        <f t="shared" si="1"/>
        <v>371.92559999999997</v>
      </c>
      <c r="G13" s="22">
        <f t="shared" si="2"/>
        <v>6.19876</v>
      </c>
      <c r="H13" s="22">
        <f t="shared" si="3"/>
        <v>3864.9268600000005</v>
      </c>
    </row>
    <row r="14" spans="1:8" x14ac:dyDescent="0.25">
      <c r="A14" s="33">
        <v>1212500</v>
      </c>
      <c r="B14" s="21">
        <v>141</v>
      </c>
      <c r="C14" s="21">
        <v>160</v>
      </c>
      <c r="D14" s="22">
        <v>3455.63</v>
      </c>
      <c r="E14" s="22">
        <f t="shared" si="0"/>
        <v>431.95375000000001</v>
      </c>
      <c r="F14" s="22">
        <f t="shared" si="1"/>
        <v>414.67559999999997</v>
      </c>
      <c r="G14" s="22">
        <f t="shared" si="2"/>
        <v>6.9112600000000004</v>
      </c>
      <c r="H14" s="22">
        <f t="shared" si="3"/>
        <v>4309.1706100000001</v>
      </c>
    </row>
    <row r="15" spans="1:8" x14ac:dyDescent="0.25">
      <c r="A15" s="33">
        <v>1337500</v>
      </c>
      <c r="B15" s="21">
        <v>161</v>
      </c>
      <c r="C15" s="21">
        <v>180</v>
      </c>
      <c r="D15" s="22">
        <v>3811.88</v>
      </c>
      <c r="E15" s="22">
        <f t="shared" si="0"/>
        <v>476.48500000000001</v>
      </c>
      <c r="F15" s="22">
        <f t="shared" si="1"/>
        <v>457.42559999999997</v>
      </c>
      <c r="G15" s="22">
        <f t="shared" si="2"/>
        <v>7.6237600000000008</v>
      </c>
      <c r="H15" s="22">
        <f t="shared" si="3"/>
        <v>4753.4143599999998</v>
      </c>
    </row>
    <row r="16" spans="1:8" x14ac:dyDescent="0.25">
      <c r="A16" s="33">
        <v>1400000</v>
      </c>
      <c r="B16" s="21">
        <v>181</v>
      </c>
      <c r="C16" s="21">
        <v>200</v>
      </c>
      <c r="D16" s="22">
        <v>3850</v>
      </c>
      <c r="E16" s="22">
        <f t="shared" si="0"/>
        <v>481.25</v>
      </c>
      <c r="F16" s="22">
        <f t="shared" si="1"/>
        <v>462</v>
      </c>
      <c r="G16" s="22">
        <f t="shared" si="2"/>
        <v>7.7</v>
      </c>
      <c r="H16" s="22">
        <f t="shared" si="3"/>
        <v>4800.95</v>
      </c>
    </row>
    <row r="17" spans="1:8" x14ac:dyDescent="0.25">
      <c r="A17" s="33">
        <v>1475000</v>
      </c>
      <c r="B17" s="21">
        <v>201</v>
      </c>
      <c r="C17" s="21">
        <v>220</v>
      </c>
      <c r="D17" s="22">
        <v>4056.25</v>
      </c>
      <c r="E17" s="22">
        <f t="shared" si="0"/>
        <v>507.03125</v>
      </c>
      <c r="F17" s="22">
        <f t="shared" si="1"/>
        <v>486.75</v>
      </c>
      <c r="G17" s="22">
        <f t="shared" si="2"/>
        <v>8.1125000000000007</v>
      </c>
      <c r="H17" s="22">
        <f t="shared" si="3"/>
        <v>5058.1437500000002</v>
      </c>
    </row>
    <row r="18" spans="1:8" x14ac:dyDescent="0.25">
      <c r="A18" s="33">
        <v>1625000</v>
      </c>
      <c r="B18" s="21">
        <v>221</v>
      </c>
      <c r="C18" s="21">
        <v>240</v>
      </c>
      <c r="D18" s="22">
        <v>4468.75</v>
      </c>
      <c r="E18" s="22">
        <f t="shared" si="0"/>
        <v>558.59375</v>
      </c>
      <c r="F18" s="22">
        <f t="shared" si="1"/>
        <v>536.25</v>
      </c>
      <c r="G18" s="22">
        <f t="shared" si="2"/>
        <v>8.9375</v>
      </c>
      <c r="H18" s="22">
        <f t="shared" si="3"/>
        <v>5572.53125</v>
      </c>
    </row>
    <row r="19" spans="1:8" x14ac:dyDescent="0.25">
      <c r="A19" s="33">
        <v>1775000</v>
      </c>
      <c r="B19" s="21">
        <v>241</v>
      </c>
      <c r="C19" s="21">
        <v>260</v>
      </c>
      <c r="D19" s="22">
        <v>4881.25</v>
      </c>
      <c r="E19" s="22">
        <f t="shared" si="0"/>
        <v>610.15625</v>
      </c>
      <c r="F19" s="22">
        <f t="shared" si="1"/>
        <v>585.75</v>
      </c>
      <c r="G19" s="22">
        <f t="shared" si="2"/>
        <v>9.7625000000000011</v>
      </c>
      <c r="H19" s="22">
        <f t="shared" si="3"/>
        <v>6086.9187499999998</v>
      </c>
    </row>
    <row r="20" spans="1:8" x14ac:dyDescent="0.25">
      <c r="A20" s="33">
        <v>1925000</v>
      </c>
      <c r="B20" s="21">
        <v>261</v>
      </c>
      <c r="C20" s="21">
        <v>280</v>
      </c>
      <c r="D20" s="22">
        <v>5293.75</v>
      </c>
      <c r="E20" s="22">
        <f t="shared" si="0"/>
        <v>661.71875</v>
      </c>
      <c r="F20" s="22">
        <f t="shared" si="1"/>
        <v>635.25</v>
      </c>
      <c r="G20" s="22">
        <f t="shared" si="2"/>
        <v>10.5875</v>
      </c>
      <c r="H20" s="22">
        <f t="shared" si="3"/>
        <v>6601.3062499999996</v>
      </c>
    </row>
    <row r="21" spans="1:8" x14ac:dyDescent="0.25">
      <c r="A21" s="33">
        <v>2000000</v>
      </c>
      <c r="B21" s="21">
        <v>281</v>
      </c>
      <c r="C21" s="21">
        <v>300</v>
      </c>
      <c r="D21" s="22">
        <v>5400</v>
      </c>
      <c r="E21" s="22">
        <f t="shared" si="0"/>
        <v>675</v>
      </c>
      <c r="F21" s="22">
        <f t="shared" si="1"/>
        <v>648</v>
      </c>
      <c r="G21" s="22">
        <f t="shared" si="2"/>
        <v>10.8</v>
      </c>
      <c r="H21" s="22">
        <f t="shared" si="3"/>
        <v>6733.8</v>
      </c>
    </row>
    <row r="22" spans="1:8" x14ac:dyDescent="0.25">
      <c r="A22" s="33">
        <v>2062500</v>
      </c>
      <c r="B22" s="21">
        <v>301</v>
      </c>
      <c r="C22" s="21">
        <v>320</v>
      </c>
      <c r="D22" s="22">
        <v>5568.75</v>
      </c>
      <c r="E22" s="22">
        <f t="shared" si="0"/>
        <v>696.09375</v>
      </c>
      <c r="F22" s="22">
        <f t="shared" si="1"/>
        <v>668.25</v>
      </c>
      <c r="G22" s="22">
        <f t="shared" si="2"/>
        <v>11.137500000000001</v>
      </c>
      <c r="H22" s="22">
        <f t="shared" si="3"/>
        <v>6944.2312499999998</v>
      </c>
    </row>
    <row r="23" spans="1:8" x14ac:dyDescent="0.25">
      <c r="A23" s="33">
        <v>2187500</v>
      </c>
      <c r="B23" s="21">
        <v>321</v>
      </c>
      <c r="C23" s="21">
        <v>340</v>
      </c>
      <c r="D23" s="22">
        <v>5906.25</v>
      </c>
      <c r="E23" s="22">
        <f t="shared" si="0"/>
        <v>738.28125</v>
      </c>
      <c r="F23" s="22">
        <f t="shared" si="1"/>
        <v>708.75</v>
      </c>
      <c r="G23" s="22">
        <f t="shared" si="2"/>
        <v>11.8125</v>
      </c>
      <c r="H23" s="22">
        <f t="shared" si="3"/>
        <v>7365.09375</v>
      </c>
    </row>
    <row r="24" spans="1:8" x14ac:dyDescent="0.25">
      <c r="A24" s="33">
        <v>2312500</v>
      </c>
      <c r="B24" s="21">
        <v>341</v>
      </c>
      <c r="C24" s="21">
        <v>360</v>
      </c>
      <c r="D24" s="22">
        <v>6243.75</v>
      </c>
      <c r="E24" s="22">
        <f t="shared" si="0"/>
        <v>780.46875</v>
      </c>
      <c r="F24" s="22">
        <f t="shared" si="1"/>
        <v>749.25</v>
      </c>
      <c r="G24" s="22">
        <f t="shared" si="2"/>
        <v>12.487500000000001</v>
      </c>
      <c r="H24" s="22">
        <f t="shared" si="3"/>
        <v>7785.9562500000002</v>
      </c>
    </row>
    <row r="25" spans="1:8" x14ac:dyDescent="0.25">
      <c r="A25" s="33">
        <v>2437500</v>
      </c>
      <c r="B25" s="21">
        <v>361</v>
      </c>
      <c r="C25" s="21">
        <v>380</v>
      </c>
      <c r="D25" s="22">
        <v>6581.25</v>
      </c>
      <c r="E25" s="22">
        <f t="shared" si="0"/>
        <v>822.65625</v>
      </c>
      <c r="F25" s="22">
        <f t="shared" si="1"/>
        <v>789.75</v>
      </c>
      <c r="G25" s="22">
        <f t="shared" si="2"/>
        <v>13.1625</v>
      </c>
      <c r="H25" s="22">
        <f t="shared" si="3"/>
        <v>8206.8187500000004</v>
      </c>
    </row>
    <row r="26" spans="1:8" x14ac:dyDescent="0.25">
      <c r="A26" s="33">
        <v>2500000</v>
      </c>
      <c r="B26" s="21">
        <v>381</v>
      </c>
      <c r="C26" s="21">
        <v>400</v>
      </c>
      <c r="D26" s="22">
        <v>6625</v>
      </c>
      <c r="E26" s="22">
        <f t="shared" si="0"/>
        <v>828.125</v>
      </c>
      <c r="F26" s="22">
        <f t="shared" si="1"/>
        <v>795</v>
      </c>
      <c r="G26" s="22">
        <f t="shared" si="2"/>
        <v>13.25</v>
      </c>
      <c r="H26" s="22">
        <f t="shared" si="3"/>
        <v>8261.375</v>
      </c>
    </row>
    <row r="27" spans="1:8" x14ac:dyDescent="0.25">
      <c r="A27" s="33">
        <v>2562500</v>
      </c>
      <c r="B27" s="21">
        <v>401</v>
      </c>
      <c r="C27" s="21">
        <v>420</v>
      </c>
      <c r="D27" s="22">
        <v>6790.63</v>
      </c>
      <c r="E27" s="22">
        <f t="shared" si="0"/>
        <v>848.82875000000001</v>
      </c>
      <c r="F27" s="22">
        <f t="shared" si="1"/>
        <v>814.87559999999996</v>
      </c>
      <c r="G27" s="22">
        <f t="shared" si="2"/>
        <v>13.58126</v>
      </c>
      <c r="H27" s="22">
        <f t="shared" si="3"/>
        <v>8467.91561</v>
      </c>
    </row>
    <row r="28" spans="1:8" x14ac:dyDescent="0.25">
      <c r="A28" s="33">
        <v>2687500</v>
      </c>
      <c r="B28" s="21">
        <v>421</v>
      </c>
      <c r="C28" s="21">
        <v>440</v>
      </c>
      <c r="D28" s="22">
        <v>7121.88</v>
      </c>
      <c r="E28" s="22">
        <f t="shared" si="0"/>
        <v>890.23500000000001</v>
      </c>
      <c r="F28" s="22">
        <f t="shared" si="1"/>
        <v>854.62559999999996</v>
      </c>
      <c r="G28" s="22">
        <f t="shared" si="2"/>
        <v>14.24376</v>
      </c>
      <c r="H28" s="22">
        <f t="shared" si="3"/>
        <v>8880.9843599999986</v>
      </c>
    </row>
    <row r="29" spans="1:8" x14ac:dyDescent="0.25">
      <c r="A29" s="33">
        <v>2812500</v>
      </c>
      <c r="B29" s="21">
        <v>441</v>
      </c>
      <c r="C29" s="21">
        <v>460</v>
      </c>
      <c r="D29" s="22">
        <v>7453.13</v>
      </c>
      <c r="E29" s="22">
        <f t="shared" si="0"/>
        <v>931.64125000000001</v>
      </c>
      <c r="F29" s="22">
        <f t="shared" si="1"/>
        <v>894.37559999999996</v>
      </c>
      <c r="G29" s="22">
        <f t="shared" si="2"/>
        <v>14.906260000000001</v>
      </c>
      <c r="H29" s="22">
        <f t="shared" si="3"/>
        <v>9294.0531099999989</v>
      </c>
    </row>
    <row r="30" spans="1:8" x14ac:dyDescent="0.25">
      <c r="A30" s="33">
        <v>2937500</v>
      </c>
      <c r="B30" s="21">
        <v>461</v>
      </c>
      <c r="C30" s="21">
        <v>480</v>
      </c>
      <c r="D30" s="22">
        <v>7784.38</v>
      </c>
      <c r="E30" s="22">
        <f t="shared" si="0"/>
        <v>973.04750000000001</v>
      </c>
      <c r="F30" s="22">
        <f t="shared" si="1"/>
        <v>934.12559999999996</v>
      </c>
      <c r="G30" s="22">
        <f t="shared" si="2"/>
        <v>15.568760000000001</v>
      </c>
      <c r="H30" s="22">
        <f t="shared" si="3"/>
        <v>9707.1218599999993</v>
      </c>
    </row>
    <row r="31" spans="1:8" x14ac:dyDescent="0.25">
      <c r="A31" s="33">
        <v>3000000</v>
      </c>
      <c r="B31" s="21">
        <v>481</v>
      </c>
      <c r="C31" s="21">
        <v>500</v>
      </c>
      <c r="D31" s="22">
        <v>7800</v>
      </c>
      <c r="E31" s="22">
        <f t="shared" si="0"/>
        <v>975</v>
      </c>
      <c r="F31" s="22">
        <f t="shared" si="1"/>
        <v>936</v>
      </c>
      <c r="G31" s="22">
        <f t="shared" si="2"/>
        <v>15.6</v>
      </c>
      <c r="H31" s="22">
        <f t="shared" si="3"/>
        <v>9726.6</v>
      </c>
    </row>
    <row r="32" spans="1:8" x14ac:dyDescent="0.25">
      <c r="A32" s="33">
        <v>3075000</v>
      </c>
      <c r="B32" s="21">
        <v>501</v>
      </c>
      <c r="C32" s="21">
        <v>520</v>
      </c>
      <c r="D32" s="22">
        <v>7995</v>
      </c>
      <c r="E32" s="22">
        <f t="shared" si="0"/>
        <v>999.375</v>
      </c>
      <c r="F32" s="22">
        <f t="shared" si="1"/>
        <v>959.4</v>
      </c>
      <c r="G32" s="22">
        <f t="shared" si="2"/>
        <v>15.99</v>
      </c>
      <c r="H32" s="22">
        <f t="shared" si="3"/>
        <v>9969.7649999999994</v>
      </c>
    </row>
    <row r="33" spans="1:8" x14ac:dyDescent="0.25">
      <c r="A33" s="33">
        <v>3225000</v>
      </c>
      <c r="B33" s="21">
        <v>521</v>
      </c>
      <c r="C33" s="21">
        <v>540</v>
      </c>
      <c r="D33" s="22">
        <v>8385</v>
      </c>
      <c r="E33" s="22">
        <f t="shared" si="0"/>
        <v>1048.125</v>
      </c>
      <c r="F33" s="22">
        <f t="shared" si="1"/>
        <v>1006.1999999999999</v>
      </c>
      <c r="G33" s="22">
        <f t="shared" si="2"/>
        <v>16.77</v>
      </c>
      <c r="H33" s="22">
        <f t="shared" si="3"/>
        <v>10456.095000000001</v>
      </c>
    </row>
    <row r="34" spans="1:8" x14ac:dyDescent="0.25">
      <c r="A34" s="33">
        <v>3375000</v>
      </c>
      <c r="B34" s="21">
        <v>541</v>
      </c>
      <c r="C34" s="21">
        <v>560</v>
      </c>
      <c r="D34" s="22">
        <v>8775</v>
      </c>
      <c r="E34" s="22">
        <f t="shared" si="0"/>
        <v>1096.875</v>
      </c>
      <c r="F34" s="22">
        <f t="shared" si="1"/>
        <v>1053</v>
      </c>
      <c r="G34" s="22">
        <f t="shared" si="2"/>
        <v>17.55</v>
      </c>
      <c r="H34" s="22">
        <f t="shared" si="3"/>
        <v>10942.424999999999</v>
      </c>
    </row>
    <row r="35" spans="1:8" x14ac:dyDescent="0.25">
      <c r="A35" s="33">
        <v>3525000</v>
      </c>
      <c r="B35" s="21">
        <v>561</v>
      </c>
      <c r="C35" s="21">
        <v>580</v>
      </c>
      <c r="D35" s="22">
        <v>9165</v>
      </c>
      <c r="E35" s="22">
        <f t="shared" si="0"/>
        <v>1145.625</v>
      </c>
      <c r="F35" s="22">
        <f t="shared" si="1"/>
        <v>1099.8</v>
      </c>
      <c r="G35" s="22">
        <f t="shared" si="2"/>
        <v>18.330000000000002</v>
      </c>
      <c r="H35" s="22">
        <f t="shared" si="3"/>
        <v>11428.754999999999</v>
      </c>
    </row>
    <row r="36" spans="1:8" x14ac:dyDescent="0.25">
      <c r="A36" s="33">
        <v>3600000</v>
      </c>
      <c r="B36" s="21">
        <v>581</v>
      </c>
      <c r="C36" s="21">
        <v>600</v>
      </c>
      <c r="D36" s="22">
        <v>9180</v>
      </c>
      <c r="E36" s="22">
        <f t="shared" si="0"/>
        <v>1147.5</v>
      </c>
      <c r="F36" s="22">
        <f t="shared" si="1"/>
        <v>1101.5999999999999</v>
      </c>
      <c r="G36" s="22">
        <f t="shared" si="2"/>
        <v>18.36</v>
      </c>
      <c r="H36" s="22">
        <f t="shared" si="3"/>
        <v>11447.460000000001</v>
      </c>
    </row>
    <row r="37" spans="1:8" x14ac:dyDescent="0.25">
      <c r="A37" s="33">
        <v>3662500</v>
      </c>
      <c r="B37" s="21">
        <v>601</v>
      </c>
      <c r="C37" s="21">
        <v>620</v>
      </c>
      <c r="D37" s="22">
        <v>9339.3799999999992</v>
      </c>
      <c r="E37" s="22">
        <f t="shared" si="0"/>
        <v>1167.4224999999999</v>
      </c>
      <c r="F37" s="22">
        <f t="shared" si="1"/>
        <v>1120.7255999999998</v>
      </c>
      <c r="G37" s="22">
        <f t="shared" si="2"/>
        <v>18.67876</v>
      </c>
      <c r="H37" s="22">
        <f t="shared" si="3"/>
        <v>11646.20686</v>
      </c>
    </row>
    <row r="38" spans="1:8" x14ac:dyDescent="0.25">
      <c r="A38" s="33">
        <v>3787500</v>
      </c>
      <c r="B38" s="21">
        <v>621</v>
      </c>
      <c r="C38" s="21">
        <v>640</v>
      </c>
      <c r="D38" s="22">
        <v>9658.1299999999992</v>
      </c>
      <c r="E38" s="22">
        <f t="shared" si="0"/>
        <v>1207.2662499999999</v>
      </c>
      <c r="F38" s="22">
        <f t="shared" si="1"/>
        <v>1158.9755999999998</v>
      </c>
      <c r="G38" s="22">
        <f t="shared" si="2"/>
        <v>19.31626</v>
      </c>
      <c r="H38" s="22">
        <f t="shared" si="3"/>
        <v>12043.688109999999</v>
      </c>
    </row>
    <row r="39" spans="1:8" x14ac:dyDescent="0.25">
      <c r="A39" s="33">
        <v>3912500</v>
      </c>
      <c r="B39" s="21">
        <v>641</v>
      </c>
      <c r="C39" s="21">
        <v>660</v>
      </c>
      <c r="D39" s="22">
        <v>9976.8799999999992</v>
      </c>
      <c r="E39" s="22">
        <f t="shared" si="0"/>
        <v>1247.1099999999999</v>
      </c>
      <c r="F39" s="22">
        <f t="shared" si="1"/>
        <v>1197.2255999999998</v>
      </c>
      <c r="G39" s="22">
        <f t="shared" si="2"/>
        <v>19.953759999999999</v>
      </c>
      <c r="H39" s="22">
        <f t="shared" si="3"/>
        <v>12441.16936</v>
      </c>
    </row>
    <row r="40" spans="1:8" x14ac:dyDescent="0.25">
      <c r="A40" s="33">
        <v>4037500</v>
      </c>
      <c r="B40" s="21">
        <v>661</v>
      </c>
      <c r="C40" s="21">
        <v>680</v>
      </c>
      <c r="D40" s="22">
        <v>10295.629999999999</v>
      </c>
      <c r="E40" s="22">
        <f t="shared" si="0"/>
        <v>1286.9537499999999</v>
      </c>
      <c r="F40" s="22">
        <f t="shared" si="1"/>
        <v>1235.4755999999998</v>
      </c>
      <c r="G40" s="22">
        <f t="shared" si="2"/>
        <v>20.591259999999998</v>
      </c>
      <c r="H40" s="22">
        <f t="shared" si="3"/>
        <v>12838.650609999999</v>
      </c>
    </row>
    <row r="41" spans="1:8" x14ac:dyDescent="0.25">
      <c r="A41" s="33">
        <v>4100000</v>
      </c>
      <c r="B41" s="21">
        <v>681</v>
      </c>
      <c r="C41" s="21">
        <v>700</v>
      </c>
      <c r="D41" s="22">
        <v>10332</v>
      </c>
      <c r="E41" s="22">
        <f t="shared" si="0"/>
        <v>1291.5</v>
      </c>
      <c r="F41" s="22">
        <f t="shared" si="1"/>
        <v>1239.8399999999999</v>
      </c>
      <c r="G41" s="22">
        <f t="shared" si="2"/>
        <v>20.664000000000001</v>
      </c>
      <c r="H41" s="22">
        <f t="shared" si="3"/>
        <v>12884.004000000001</v>
      </c>
    </row>
    <row r="42" spans="1:8" x14ac:dyDescent="0.25">
      <c r="A42" s="33">
        <v>4162500</v>
      </c>
      <c r="B42" s="21">
        <v>701</v>
      </c>
      <c r="C42" s="21">
        <v>720</v>
      </c>
      <c r="D42" s="22">
        <v>10489.5</v>
      </c>
      <c r="E42" s="22">
        <f t="shared" si="0"/>
        <v>1311.1875</v>
      </c>
      <c r="F42" s="22">
        <f t="shared" si="1"/>
        <v>1258.74</v>
      </c>
      <c r="G42" s="22">
        <f t="shared" si="2"/>
        <v>20.978999999999999</v>
      </c>
      <c r="H42" s="22">
        <f t="shared" si="3"/>
        <v>13080.406499999999</v>
      </c>
    </row>
    <row r="43" spans="1:8" x14ac:dyDescent="0.25">
      <c r="A43" s="33">
        <v>4287500</v>
      </c>
      <c r="B43" s="21">
        <v>721</v>
      </c>
      <c r="C43" s="21">
        <v>740</v>
      </c>
      <c r="D43" s="22">
        <v>10804.5</v>
      </c>
      <c r="E43" s="22">
        <f t="shared" si="0"/>
        <v>1350.5625</v>
      </c>
      <c r="F43" s="22">
        <f t="shared" si="1"/>
        <v>1296.54</v>
      </c>
      <c r="G43" s="22">
        <f t="shared" si="2"/>
        <v>21.609000000000002</v>
      </c>
      <c r="H43" s="22">
        <f t="shared" si="3"/>
        <v>13473.211500000001</v>
      </c>
    </row>
    <row r="44" spans="1:8" x14ac:dyDescent="0.25">
      <c r="A44" s="33">
        <v>4412500</v>
      </c>
      <c r="B44" s="21">
        <v>741</v>
      </c>
      <c r="C44" s="21">
        <v>760</v>
      </c>
      <c r="D44" s="22">
        <v>11119.5</v>
      </c>
      <c r="E44" s="22">
        <f t="shared" si="0"/>
        <v>1389.9375</v>
      </c>
      <c r="F44" s="22">
        <f t="shared" si="1"/>
        <v>1334.34</v>
      </c>
      <c r="G44" s="22">
        <f t="shared" si="2"/>
        <v>22.239000000000001</v>
      </c>
      <c r="H44" s="22">
        <f t="shared" si="3"/>
        <v>13866.0165</v>
      </c>
    </row>
    <row r="45" spans="1:8" x14ac:dyDescent="0.25">
      <c r="A45" s="33">
        <v>4537500</v>
      </c>
      <c r="B45" s="21">
        <v>761</v>
      </c>
      <c r="C45" s="21">
        <v>780</v>
      </c>
      <c r="D45" s="22">
        <v>11434.5</v>
      </c>
      <c r="E45" s="22">
        <f t="shared" si="0"/>
        <v>1429.3125</v>
      </c>
      <c r="F45" s="22">
        <f t="shared" si="1"/>
        <v>1372.1399999999999</v>
      </c>
      <c r="G45" s="22">
        <f t="shared" si="2"/>
        <v>22.869</v>
      </c>
      <c r="H45" s="22">
        <f t="shared" si="3"/>
        <v>14258.8215</v>
      </c>
    </row>
    <row r="46" spans="1:8" x14ac:dyDescent="0.25">
      <c r="A46" s="33">
        <v>4600000</v>
      </c>
      <c r="B46" s="21">
        <v>781</v>
      </c>
      <c r="C46" s="21">
        <v>800</v>
      </c>
      <c r="D46" s="22">
        <v>11500</v>
      </c>
      <c r="E46" s="22">
        <f t="shared" si="0"/>
        <v>1437.5</v>
      </c>
      <c r="F46" s="22">
        <f t="shared" si="1"/>
        <v>1380</v>
      </c>
      <c r="G46" s="22">
        <f t="shared" si="2"/>
        <v>23</v>
      </c>
      <c r="H46" s="22">
        <f t="shared" si="3"/>
        <v>14340.5</v>
      </c>
    </row>
    <row r="47" spans="1:8" x14ac:dyDescent="0.25">
      <c r="A47" s="33">
        <v>4662500</v>
      </c>
      <c r="B47" s="21">
        <v>801</v>
      </c>
      <c r="C47" s="21">
        <v>820</v>
      </c>
      <c r="D47" s="22">
        <v>11656.25</v>
      </c>
      <c r="E47" s="22">
        <f t="shared" si="0"/>
        <v>1457.03125</v>
      </c>
      <c r="F47" s="22">
        <f t="shared" si="1"/>
        <v>1398.75</v>
      </c>
      <c r="G47" s="22">
        <f t="shared" si="2"/>
        <v>23.3125</v>
      </c>
      <c r="H47" s="22">
        <f t="shared" si="3"/>
        <v>14535.34375</v>
      </c>
    </row>
    <row r="48" spans="1:8" x14ac:dyDescent="0.25">
      <c r="A48" s="33">
        <v>4787500</v>
      </c>
      <c r="B48" s="21">
        <v>821</v>
      </c>
      <c r="C48" s="21">
        <v>840</v>
      </c>
      <c r="D48" s="22">
        <v>11968.75</v>
      </c>
      <c r="E48" s="22">
        <f t="shared" si="0"/>
        <v>1496.09375</v>
      </c>
      <c r="F48" s="22">
        <f t="shared" si="1"/>
        <v>1436.25</v>
      </c>
      <c r="G48" s="22">
        <f t="shared" si="2"/>
        <v>23.9375</v>
      </c>
      <c r="H48" s="22">
        <f t="shared" si="3"/>
        <v>14925.03125</v>
      </c>
    </row>
    <row r="49" spans="1:8" x14ac:dyDescent="0.25">
      <c r="A49" s="33">
        <v>4912500</v>
      </c>
      <c r="B49" s="21">
        <v>841</v>
      </c>
      <c r="C49" s="21">
        <v>860</v>
      </c>
      <c r="D49" s="22">
        <v>12281.25</v>
      </c>
      <c r="E49" s="22">
        <f t="shared" si="0"/>
        <v>1535.15625</v>
      </c>
      <c r="F49" s="22">
        <f t="shared" si="1"/>
        <v>1473.75</v>
      </c>
      <c r="G49" s="22">
        <f t="shared" si="2"/>
        <v>24.5625</v>
      </c>
      <c r="H49" s="22">
        <f t="shared" si="3"/>
        <v>15314.71875</v>
      </c>
    </row>
    <row r="50" spans="1:8" x14ac:dyDescent="0.25">
      <c r="A50" s="33">
        <v>5037500</v>
      </c>
      <c r="B50" s="21">
        <v>861</v>
      </c>
      <c r="C50" s="21">
        <v>880</v>
      </c>
      <c r="D50" s="22">
        <v>12593.75</v>
      </c>
      <c r="E50" s="22">
        <f t="shared" si="0"/>
        <v>1574.21875</v>
      </c>
      <c r="F50" s="22">
        <f t="shared" si="1"/>
        <v>1511.25</v>
      </c>
      <c r="G50" s="22">
        <f t="shared" si="2"/>
        <v>25.1875</v>
      </c>
      <c r="H50" s="22">
        <f t="shared" si="3"/>
        <v>15704.40625</v>
      </c>
    </row>
    <row r="51" spans="1:8" x14ac:dyDescent="0.25">
      <c r="A51" s="33">
        <v>5100000</v>
      </c>
      <c r="B51" s="21">
        <v>881</v>
      </c>
      <c r="C51" s="21">
        <v>900</v>
      </c>
      <c r="D51" s="22">
        <v>12597</v>
      </c>
      <c r="E51" s="22">
        <f t="shared" si="0"/>
        <v>1574.625</v>
      </c>
      <c r="F51" s="22">
        <f t="shared" si="1"/>
        <v>1511.6399999999999</v>
      </c>
      <c r="G51" s="22">
        <f t="shared" si="2"/>
        <v>25.193999999999999</v>
      </c>
      <c r="H51" s="22">
        <f t="shared" si="3"/>
        <v>15708.458999999999</v>
      </c>
    </row>
    <row r="52" spans="1:8" x14ac:dyDescent="0.25">
      <c r="A52" s="33">
        <v>5162500</v>
      </c>
      <c r="B52" s="21">
        <v>901</v>
      </c>
      <c r="C52" s="21">
        <v>920</v>
      </c>
      <c r="D52" s="22">
        <v>12751.38</v>
      </c>
      <c r="E52" s="22">
        <f t="shared" si="0"/>
        <v>1593.9224999999999</v>
      </c>
      <c r="F52" s="22">
        <f t="shared" si="1"/>
        <v>1530.1655999999998</v>
      </c>
      <c r="G52" s="22">
        <f t="shared" si="2"/>
        <v>25.502759999999999</v>
      </c>
      <c r="H52" s="22">
        <f t="shared" si="3"/>
        <v>15900.970859999999</v>
      </c>
    </row>
    <row r="53" spans="1:8" x14ac:dyDescent="0.25">
      <c r="A53" s="33">
        <v>5287500</v>
      </c>
      <c r="B53" s="21">
        <v>921</v>
      </c>
      <c r="C53" s="21">
        <v>940</v>
      </c>
      <c r="D53" s="22">
        <v>13060.13</v>
      </c>
      <c r="E53" s="22">
        <f t="shared" si="0"/>
        <v>1632.5162499999999</v>
      </c>
      <c r="F53" s="22">
        <f t="shared" si="1"/>
        <v>1567.2155999999998</v>
      </c>
      <c r="G53" s="22">
        <f t="shared" si="2"/>
        <v>26.120259999999998</v>
      </c>
      <c r="H53" s="22">
        <f t="shared" si="3"/>
        <v>16285.982109999999</v>
      </c>
    </row>
    <row r="54" spans="1:8" x14ac:dyDescent="0.25">
      <c r="A54" s="33">
        <v>5412500</v>
      </c>
      <c r="B54" s="21">
        <v>941</v>
      </c>
      <c r="C54" s="21">
        <v>960</v>
      </c>
      <c r="D54" s="22">
        <v>13368.88</v>
      </c>
      <c r="E54" s="22">
        <f t="shared" si="0"/>
        <v>1671.11</v>
      </c>
      <c r="F54" s="22">
        <f t="shared" si="1"/>
        <v>1604.2655999999999</v>
      </c>
      <c r="G54" s="22">
        <f t="shared" si="2"/>
        <v>26.737759999999998</v>
      </c>
      <c r="H54" s="22">
        <f t="shared" si="3"/>
        <v>16670.99336</v>
      </c>
    </row>
    <row r="55" spans="1:8" x14ac:dyDescent="0.25">
      <c r="A55" s="33">
        <v>5537500</v>
      </c>
      <c r="B55" s="21">
        <v>961</v>
      </c>
      <c r="C55" s="21">
        <v>980</v>
      </c>
      <c r="D55" s="22">
        <v>13677.63</v>
      </c>
      <c r="E55" s="22">
        <f t="shared" si="0"/>
        <v>1709.7037499999999</v>
      </c>
      <c r="F55" s="22">
        <f t="shared" si="1"/>
        <v>1641.3155999999999</v>
      </c>
      <c r="G55" s="22">
        <f t="shared" si="2"/>
        <v>27.355259999999998</v>
      </c>
      <c r="H55" s="22">
        <f t="shared" si="3"/>
        <v>17056.00461</v>
      </c>
    </row>
    <row r="56" spans="1:8" x14ac:dyDescent="0.25">
      <c r="A56" s="33">
        <v>5600000</v>
      </c>
      <c r="B56" s="21">
        <v>981</v>
      </c>
      <c r="C56" s="21">
        <v>1000</v>
      </c>
      <c r="D56" s="22">
        <v>13720</v>
      </c>
      <c r="E56" s="22">
        <f t="shared" si="0"/>
        <v>1715</v>
      </c>
      <c r="F56" s="22">
        <f t="shared" si="1"/>
        <v>1646.3999999999999</v>
      </c>
      <c r="G56" s="22">
        <f t="shared" si="2"/>
        <v>27.44</v>
      </c>
      <c r="H56" s="22">
        <f t="shared" si="3"/>
        <v>17108.84</v>
      </c>
    </row>
    <row r="57" spans="1:8" x14ac:dyDescent="0.25">
      <c r="A57" s="33">
        <v>5850000</v>
      </c>
      <c r="B57" s="21">
        <v>1001</v>
      </c>
      <c r="C57" s="21">
        <v>1500</v>
      </c>
      <c r="D57" s="22">
        <v>14040</v>
      </c>
      <c r="E57" s="22">
        <f t="shared" si="0"/>
        <v>1755</v>
      </c>
      <c r="F57" s="22">
        <f t="shared" si="1"/>
        <v>1684.8</v>
      </c>
      <c r="G57" s="22">
        <f t="shared" si="2"/>
        <v>28.080000000000002</v>
      </c>
      <c r="H57" s="22">
        <f t="shared" si="3"/>
        <v>17507.88</v>
      </c>
    </row>
    <row r="58" spans="1:8" x14ac:dyDescent="0.25">
      <c r="A58" s="33">
        <v>6100000</v>
      </c>
      <c r="B58" s="21">
        <v>1501</v>
      </c>
      <c r="C58" s="21">
        <v>3000</v>
      </c>
      <c r="D58" s="22">
        <v>14091</v>
      </c>
      <c r="E58" s="22">
        <f t="shared" si="0"/>
        <v>1761.375</v>
      </c>
      <c r="F58" s="22">
        <f t="shared" si="1"/>
        <v>1690.9199999999998</v>
      </c>
      <c r="G58" s="22">
        <f t="shared" si="2"/>
        <v>28.182000000000002</v>
      </c>
      <c r="H58" s="22">
        <f t="shared" si="3"/>
        <v>17571.476999999999</v>
      </c>
    </row>
    <row r="59" spans="1:8" x14ac:dyDescent="0.25">
      <c r="A59" s="33">
        <v>6350000</v>
      </c>
      <c r="B59" s="21">
        <v>3001</v>
      </c>
      <c r="C59" s="21">
        <v>4000</v>
      </c>
      <c r="D59" s="22">
        <v>14605</v>
      </c>
      <c r="E59" s="22">
        <f t="shared" si="0"/>
        <v>1825.625</v>
      </c>
      <c r="F59" s="22">
        <f t="shared" si="1"/>
        <v>1752.6</v>
      </c>
      <c r="G59" s="22">
        <f t="shared" si="2"/>
        <v>29.21</v>
      </c>
      <c r="H59" s="22">
        <f t="shared" si="3"/>
        <v>18212.434999999998</v>
      </c>
    </row>
    <row r="60" spans="1:8" x14ac:dyDescent="0.25">
      <c r="A60" s="33">
        <v>6600000</v>
      </c>
      <c r="B60" s="21">
        <v>4001</v>
      </c>
      <c r="C60" s="21">
        <v>5000</v>
      </c>
      <c r="D60" s="22">
        <v>14850</v>
      </c>
      <c r="E60" s="22">
        <f t="shared" si="0"/>
        <v>1856.25</v>
      </c>
      <c r="F60" s="22">
        <f t="shared" si="1"/>
        <v>1782</v>
      </c>
      <c r="G60" s="22">
        <f t="shared" si="2"/>
        <v>29.7</v>
      </c>
      <c r="H60" s="22">
        <f t="shared" si="3"/>
        <v>18517.95</v>
      </c>
    </row>
    <row r="61" spans="1:8" x14ac:dyDescent="0.25">
      <c r="A61" s="33">
        <v>7100000</v>
      </c>
      <c r="B61" s="21">
        <v>5001</v>
      </c>
      <c r="C61" s="21" t="s">
        <v>83</v>
      </c>
      <c r="D61" s="22">
        <v>14910</v>
      </c>
      <c r="E61" s="22">
        <f t="shared" si="0"/>
        <v>1863.75</v>
      </c>
      <c r="F61" s="22">
        <f t="shared" si="1"/>
        <v>1789.2</v>
      </c>
      <c r="G61" s="22">
        <f t="shared" si="2"/>
        <v>29.82</v>
      </c>
      <c r="H61" s="22">
        <f t="shared" si="3"/>
        <v>18592.77</v>
      </c>
    </row>
  </sheetData>
  <mergeCells count="8">
    <mergeCell ref="A4:H4"/>
    <mergeCell ref="B5:C5"/>
    <mergeCell ref="A5:A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7E5D-51F1-445C-B0EE-BC390D037FF9}">
  <sheetPr>
    <tabColor theme="8"/>
  </sheetPr>
  <dimension ref="A1:Q36"/>
  <sheetViews>
    <sheetView zoomScaleNormal="100" workbookViewId="0">
      <pane ySplit="7" topLeftCell="A24" activePane="bottomLeft" state="frozen"/>
      <selection pane="bottomLeft" activeCell="H35" sqref="H35"/>
    </sheetView>
  </sheetViews>
  <sheetFormatPr defaultRowHeight="15" x14ac:dyDescent="0.25"/>
  <cols>
    <col min="1" max="1" width="21.85546875" customWidth="1"/>
    <col min="2" max="2" width="13.28515625" customWidth="1"/>
    <col min="3" max="3" width="11.7109375" customWidth="1"/>
    <col min="4" max="4" width="18" customWidth="1"/>
    <col min="5" max="5" width="18.140625" customWidth="1"/>
    <col min="6" max="6" width="16.42578125" customWidth="1"/>
    <col min="7" max="7" width="15.42578125" customWidth="1"/>
    <col min="8" max="8" width="18.42578125" customWidth="1"/>
    <col min="9" max="9" width="18.28515625" bestFit="1" customWidth="1"/>
    <col min="10" max="10" width="17.85546875" bestFit="1" customWidth="1"/>
    <col min="11" max="11" width="18.28515625" bestFit="1" customWidth="1"/>
    <col min="12" max="12" width="19.140625" bestFit="1" customWidth="1"/>
    <col min="13" max="14" width="15" bestFit="1" customWidth="1"/>
    <col min="15" max="15" width="12.140625" bestFit="1" customWidth="1"/>
    <col min="16" max="16" width="14.140625" bestFit="1" customWidth="1"/>
    <col min="17" max="17" width="14.42578125" bestFit="1" customWidth="1"/>
  </cols>
  <sheetData>
    <row r="1" spans="1:17" s="3" customFormat="1" x14ac:dyDescent="0.25">
      <c r="A1" s="1" t="s">
        <v>70</v>
      </c>
      <c r="B1" s="1"/>
      <c r="D1" s="4"/>
      <c r="E1" s="4"/>
      <c r="F1" s="4"/>
      <c r="G1" s="4"/>
      <c r="H1" s="4"/>
    </row>
    <row r="2" spans="1:17" s="3" customFormat="1" ht="14.25" x14ac:dyDescent="0.2">
      <c r="A2" s="2" t="s">
        <v>71</v>
      </c>
      <c r="B2" s="2"/>
      <c r="D2" s="4"/>
      <c r="E2" s="4"/>
      <c r="F2" s="4"/>
      <c r="G2" s="4"/>
      <c r="H2" s="4"/>
    </row>
    <row r="3" spans="1:17" s="3" customFormat="1" ht="14.25" x14ac:dyDescent="0.2">
      <c r="A3" s="2" t="s">
        <v>87</v>
      </c>
      <c r="B3" s="2"/>
      <c r="D3" s="4"/>
      <c r="E3" s="4"/>
      <c r="F3" s="4"/>
      <c r="G3" s="4"/>
      <c r="H3" s="4"/>
    </row>
    <row r="4" spans="1:17" x14ac:dyDescent="0.25">
      <c r="A4" s="6"/>
      <c r="B4" s="6"/>
      <c r="C4" s="3"/>
      <c r="D4" s="4"/>
      <c r="E4" s="4"/>
      <c r="F4" s="4"/>
      <c r="G4" s="4"/>
      <c r="H4" s="4"/>
    </row>
    <row r="5" spans="1:17" x14ac:dyDescent="0.25">
      <c r="A5" s="45" t="s">
        <v>0</v>
      </c>
      <c r="B5" s="35" t="s">
        <v>88</v>
      </c>
      <c r="C5" s="36"/>
      <c r="D5" s="39" t="s">
        <v>1</v>
      </c>
      <c r="E5" s="40"/>
      <c r="F5" s="40"/>
      <c r="G5" s="40"/>
      <c r="H5" s="41"/>
    </row>
    <row r="6" spans="1:17" ht="9.75" customHeight="1" x14ac:dyDescent="0.25">
      <c r="A6" s="45"/>
      <c r="B6" s="37"/>
      <c r="C6" s="38"/>
      <c r="D6" s="42"/>
      <c r="E6" s="43"/>
      <c r="F6" s="43"/>
      <c r="G6" s="43"/>
      <c r="H6" s="44"/>
    </row>
    <row r="7" spans="1:17" ht="20.25" customHeight="1" x14ac:dyDescent="0.25">
      <c r="A7" s="45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5" t="s">
        <v>73</v>
      </c>
    </row>
    <row r="8" spans="1:17" x14ac:dyDescent="0.25">
      <c r="A8" s="31">
        <v>100000</v>
      </c>
      <c r="B8" s="21">
        <v>1</v>
      </c>
      <c r="C8" s="21">
        <v>20</v>
      </c>
      <c r="D8" s="5">
        <v>481.15800000000002</v>
      </c>
      <c r="E8" s="5">
        <f>D8*12.5%</f>
        <v>60.144750000000002</v>
      </c>
      <c r="F8" s="5">
        <f>D8*12%</f>
        <v>57.738959999999999</v>
      </c>
      <c r="G8" s="5">
        <f>D8*0.2%</f>
        <v>0.96231600000000006</v>
      </c>
      <c r="H8" s="5">
        <f>SUM(D8:G8)</f>
        <v>600.00402600000007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31">
        <v>150000</v>
      </c>
      <c r="B9" s="21">
        <v>21</v>
      </c>
      <c r="C9" s="21">
        <v>30</v>
      </c>
      <c r="D9" s="5">
        <v>641.54000000000008</v>
      </c>
      <c r="E9" s="5">
        <f t="shared" ref="E9" si="0">D9*12.5%</f>
        <v>80.19250000000001</v>
      </c>
      <c r="F9" s="5">
        <f t="shared" ref="F9" si="1">D9*12%</f>
        <v>76.984800000000007</v>
      </c>
      <c r="G9" s="5">
        <f t="shared" ref="G9" si="2">D9*0.2%</f>
        <v>1.2830800000000002</v>
      </c>
      <c r="H9" s="5">
        <f t="shared" ref="H9" si="3">SUM(D9:G9)</f>
        <v>800.00038000000006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31">
        <v>200000</v>
      </c>
      <c r="B10" s="21">
        <v>31</v>
      </c>
      <c r="C10" s="21">
        <v>40</v>
      </c>
      <c r="D10" s="5">
        <v>761.82999999999993</v>
      </c>
      <c r="E10" s="5">
        <f t="shared" ref="E10:E34" si="4">D10*12.5%</f>
        <v>95.228749999999991</v>
      </c>
      <c r="F10" s="5">
        <f t="shared" ref="F10:F34" si="5">D10*12%</f>
        <v>91.419599999999988</v>
      </c>
      <c r="G10" s="5">
        <f t="shared" ref="G10:G34" si="6">D10*0.2%</f>
        <v>1.5236599999999998</v>
      </c>
      <c r="H10" s="5">
        <f t="shared" ref="H10:H34" si="7">SUM(D10:G10)</f>
        <v>950.00200999999981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31">
        <v>250000</v>
      </c>
      <c r="B11" s="21">
        <v>41</v>
      </c>
      <c r="C11" s="21">
        <v>50</v>
      </c>
      <c r="D11" s="5">
        <v>842.02</v>
      </c>
      <c r="E11" s="5">
        <f t="shared" ref="E11" si="8">D11*12.5%</f>
        <v>105.2525</v>
      </c>
      <c r="F11" s="5">
        <f t="shared" ref="F11" si="9">D11*12%</f>
        <v>101.0424</v>
      </c>
      <c r="G11" s="5">
        <f t="shared" ref="G11" si="10">D11*0.2%</f>
        <v>1.68404</v>
      </c>
      <c r="H11" s="5">
        <f t="shared" ref="H11" si="11">SUM(D11:G11)</f>
        <v>1049.9989400000002</v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25">
      <c r="A12" s="31">
        <v>300000</v>
      </c>
      <c r="B12" s="21">
        <v>51</v>
      </c>
      <c r="C12" s="21">
        <v>60</v>
      </c>
      <c r="D12" s="5">
        <v>962.31</v>
      </c>
      <c r="E12" s="5">
        <f t="shared" si="4"/>
        <v>120.28874999999999</v>
      </c>
      <c r="F12" s="5">
        <f t="shared" si="5"/>
        <v>115.47719999999998</v>
      </c>
      <c r="G12" s="5">
        <f t="shared" si="6"/>
        <v>1.92462</v>
      </c>
      <c r="H12" s="5">
        <f t="shared" si="7"/>
        <v>1200.0005699999999</v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31">
        <v>350000</v>
      </c>
      <c r="B13" s="21">
        <v>61</v>
      </c>
      <c r="C13" s="21">
        <v>70</v>
      </c>
      <c r="D13" s="5">
        <v>1082.5999999999999</v>
      </c>
      <c r="E13" s="5">
        <f t="shared" si="4"/>
        <v>135.32499999999999</v>
      </c>
      <c r="F13" s="5">
        <f t="shared" si="5"/>
        <v>129.91199999999998</v>
      </c>
      <c r="G13" s="5">
        <f t="shared" si="6"/>
        <v>2.1652</v>
      </c>
      <c r="H13" s="5">
        <f t="shared" si="7"/>
        <v>1350.0021999999999</v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25">
      <c r="A14" s="31">
        <v>400000</v>
      </c>
      <c r="B14" s="21">
        <v>71</v>
      </c>
      <c r="C14" s="21">
        <v>80</v>
      </c>
      <c r="D14" s="5">
        <v>1202.8899999999999</v>
      </c>
      <c r="E14" s="5">
        <f t="shared" ref="E14:E16" si="12">D14*12.5%</f>
        <v>150.36124999999998</v>
      </c>
      <c r="F14" s="5">
        <f t="shared" ref="F14:F16" si="13">D14*12%</f>
        <v>144.34679999999997</v>
      </c>
      <c r="G14" s="5">
        <f t="shared" ref="G14:G16" si="14">D14*0.2%</f>
        <v>2.4057799999999996</v>
      </c>
      <c r="H14" s="5">
        <f t="shared" ref="H14:H16" si="15">SUM(D14:G14)</f>
        <v>1500.0038299999999</v>
      </c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31">
        <v>450000</v>
      </c>
      <c r="B15" s="21">
        <v>81</v>
      </c>
      <c r="C15" s="21">
        <v>90</v>
      </c>
      <c r="D15" s="5">
        <v>1283.0800000000002</v>
      </c>
      <c r="E15" s="5">
        <f t="shared" si="12"/>
        <v>160.38500000000002</v>
      </c>
      <c r="F15" s="5">
        <f t="shared" si="13"/>
        <v>153.96960000000001</v>
      </c>
      <c r="G15" s="5">
        <f t="shared" si="14"/>
        <v>2.5661600000000004</v>
      </c>
      <c r="H15" s="5">
        <f t="shared" si="15"/>
        <v>1600.0007600000001</v>
      </c>
      <c r="I15" s="17"/>
      <c r="J15" s="17"/>
      <c r="K15" s="17"/>
      <c r="L15" s="17"/>
      <c r="M15" s="17"/>
      <c r="N15" s="17"/>
      <c r="O15" s="17"/>
      <c r="P15" s="17"/>
      <c r="Q15" s="17"/>
    </row>
    <row r="16" spans="1:17" x14ac:dyDescent="0.25">
      <c r="A16" s="31">
        <v>500000</v>
      </c>
      <c r="B16" s="21">
        <v>91</v>
      </c>
      <c r="C16" s="21">
        <v>100</v>
      </c>
      <c r="D16" s="5">
        <v>1363.27</v>
      </c>
      <c r="E16" s="5">
        <f t="shared" si="12"/>
        <v>170.40875</v>
      </c>
      <c r="F16" s="5">
        <f t="shared" si="13"/>
        <v>163.5924</v>
      </c>
      <c r="G16" s="5">
        <f t="shared" si="14"/>
        <v>2.72654</v>
      </c>
      <c r="H16" s="5">
        <f t="shared" si="15"/>
        <v>1699.9976900000001</v>
      </c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25">
      <c r="A17" s="31">
        <v>550000</v>
      </c>
      <c r="B17" s="21">
        <v>101</v>
      </c>
      <c r="C17" s="21">
        <v>110</v>
      </c>
      <c r="D17" s="5">
        <v>1443.4680000000001</v>
      </c>
      <c r="E17" s="5">
        <f t="shared" si="4"/>
        <v>180.43350000000001</v>
      </c>
      <c r="F17" s="5">
        <f t="shared" si="5"/>
        <v>173.21616</v>
      </c>
      <c r="G17" s="5">
        <f t="shared" si="6"/>
        <v>2.8869360000000004</v>
      </c>
      <c r="H17" s="5">
        <f t="shared" si="7"/>
        <v>1800.0045960000002</v>
      </c>
      <c r="I17" s="17"/>
      <c r="J17" s="17"/>
      <c r="K17" s="17"/>
      <c r="L17" s="17"/>
      <c r="M17" s="17"/>
      <c r="N17" s="17"/>
      <c r="O17" s="17"/>
      <c r="P17" s="17"/>
      <c r="Q17" s="17"/>
    </row>
    <row r="18" spans="1:17" x14ac:dyDescent="0.25">
      <c r="A18" s="31">
        <v>600000</v>
      </c>
      <c r="B18" s="21">
        <v>111</v>
      </c>
      <c r="C18" s="21">
        <v>120</v>
      </c>
      <c r="D18" s="5">
        <v>1523.6599999999999</v>
      </c>
      <c r="E18" s="5">
        <f t="shared" si="4"/>
        <v>190.45749999999998</v>
      </c>
      <c r="F18" s="5">
        <f t="shared" si="5"/>
        <v>182.83919999999998</v>
      </c>
      <c r="G18" s="5">
        <f t="shared" si="6"/>
        <v>3.0473199999999996</v>
      </c>
      <c r="H18" s="5">
        <f t="shared" si="7"/>
        <v>1900.0040199999996</v>
      </c>
      <c r="I18" s="17"/>
      <c r="J18" s="17"/>
      <c r="K18" s="17"/>
      <c r="L18" s="17"/>
      <c r="M18" s="17"/>
      <c r="N18" s="17"/>
      <c r="O18" s="17"/>
      <c r="P18" s="17"/>
      <c r="Q18" s="17"/>
    </row>
    <row r="19" spans="1:17" x14ac:dyDescent="0.25">
      <c r="A19" s="31">
        <v>650000</v>
      </c>
      <c r="B19" s="21">
        <v>121</v>
      </c>
      <c r="C19" s="21">
        <v>130</v>
      </c>
      <c r="D19" s="5">
        <v>1603.8500000000001</v>
      </c>
      <c r="E19" s="5">
        <f t="shared" ref="E19:E23" si="16">D19*12.5%</f>
        <v>200.48125000000002</v>
      </c>
      <c r="F19" s="5">
        <f t="shared" ref="F19:F23" si="17">D19*12%</f>
        <v>192.46200000000002</v>
      </c>
      <c r="G19" s="5">
        <f t="shared" ref="G19:G23" si="18">D19*0.2%</f>
        <v>3.2077000000000004</v>
      </c>
      <c r="H19" s="5">
        <f t="shared" ref="H19:H23" si="19">SUM(D19:G19)</f>
        <v>2000.0009500000001</v>
      </c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31">
        <v>700000</v>
      </c>
      <c r="B20" s="21">
        <v>131</v>
      </c>
      <c r="C20" s="21">
        <v>140</v>
      </c>
      <c r="D20" s="5">
        <v>1684.04</v>
      </c>
      <c r="E20" s="5">
        <f t="shared" si="16"/>
        <v>210.505</v>
      </c>
      <c r="F20" s="5">
        <f t="shared" si="17"/>
        <v>202.0848</v>
      </c>
      <c r="G20" s="5">
        <f t="shared" si="18"/>
        <v>3.36808</v>
      </c>
      <c r="H20" s="5">
        <f t="shared" si="19"/>
        <v>2099.9978800000004</v>
      </c>
      <c r="I20" s="17"/>
      <c r="J20" s="17"/>
      <c r="K20" s="17"/>
      <c r="L20" s="17"/>
      <c r="M20" s="17"/>
      <c r="N20" s="17"/>
      <c r="O20" s="17"/>
      <c r="P20" s="17"/>
      <c r="Q20" s="17"/>
    </row>
    <row r="21" spans="1:17" x14ac:dyDescent="0.25">
      <c r="A21" s="31">
        <v>750000</v>
      </c>
      <c r="B21" s="21">
        <v>141</v>
      </c>
      <c r="C21" s="21">
        <v>150</v>
      </c>
      <c r="D21" s="5">
        <v>1780.27</v>
      </c>
      <c r="E21" s="5">
        <f t="shared" si="16"/>
        <v>222.53375</v>
      </c>
      <c r="F21" s="5">
        <f t="shared" si="17"/>
        <v>213.63239999999999</v>
      </c>
      <c r="G21" s="5">
        <f t="shared" si="18"/>
        <v>3.56054</v>
      </c>
      <c r="H21" s="5">
        <f t="shared" si="19"/>
        <v>2219.9966899999999</v>
      </c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31">
        <v>800000</v>
      </c>
      <c r="B22" s="21">
        <v>151</v>
      </c>
      <c r="C22" s="21">
        <v>160</v>
      </c>
      <c r="D22" s="5">
        <v>1844.43</v>
      </c>
      <c r="E22" s="5">
        <f t="shared" si="16"/>
        <v>230.55375000000001</v>
      </c>
      <c r="F22" s="5">
        <f t="shared" si="17"/>
        <v>221.33160000000001</v>
      </c>
      <c r="G22" s="5">
        <f t="shared" si="18"/>
        <v>3.68886</v>
      </c>
      <c r="H22" s="5">
        <f t="shared" si="19"/>
        <v>2300.0042100000001</v>
      </c>
      <c r="I22" s="17"/>
      <c r="J22" s="17"/>
      <c r="K22" s="17"/>
      <c r="L22" s="17"/>
      <c r="M22" s="17"/>
      <c r="N22" s="17"/>
      <c r="O22" s="17"/>
      <c r="P22" s="17"/>
      <c r="Q22" s="17"/>
    </row>
    <row r="23" spans="1:17" x14ac:dyDescent="0.25">
      <c r="A23" s="31">
        <v>850000</v>
      </c>
      <c r="B23" s="21">
        <v>161</v>
      </c>
      <c r="C23" s="21">
        <v>170</v>
      </c>
      <c r="D23" s="5">
        <v>1924.62</v>
      </c>
      <c r="E23" s="5">
        <f t="shared" si="16"/>
        <v>240.57749999999999</v>
      </c>
      <c r="F23" s="5">
        <f t="shared" si="17"/>
        <v>230.95439999999996</v>
      </c>
      <c r="G23" s="5">
        <f t="shared" si="18"/>
        <v>3.84924</v>
      </c>
      <c r="H23" s="5">
        <f t="shared" si="19"/>
        <v>2400.0011399999999</v>
      </c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31">
        <v>900000</v>
      </c>
      <c r="B24" s="21">
        <v>171</v>
      </c>
      <c r="C24" s="21">
        <v>180</v>
      </c>
      <c r="D24" s="5">
        <v>2004.8100000000002</v>
      </c>
      <c r="E24" s="5">
        <f t="shared" ref="E24:E25" si="20">D24*12.5%</f>
        <v>250.60125000000002</v>
      </c>
      <c r="F24" s="5">
        <f t="shared" ref="F24:F25" si="21">D24*12%</f>
        <v>240.5772</v>
      </c>
      <c r="G24" s="5">
        <f t="shared" ref="G24:G25" si="22">D24*0.2%</f>
        <v>4.0096200000000009</v>
      </c>
      <c r="H24" s="5">
        <f t="shared" ref="H24:H25" si="23">SUM(D24:G24)</f>
        <v>2499.9980700000001</v>
      </c>
      <c r="I24" s="17"/>
      <c r="J24" s="17"/>
      <c r="K24" s="17"/>
      <c r="L24" s="17"/>
      <c r="M24" s="17"/>
      <c r="N24" s="17"/>
      <c r="O24" s="17"/>
      <c r="P24" s="17"/>
      <c r="Q24" s="17"/>
    </row>
    <row r="25" spans="1:17" x14ac:dyDescent="0.25">
      <c r="A25" s="31">
        <v>950000</v>
      </c>
      <c r="B25" s="21">
        <v>181</v>
      </c>
      <c r="C25" s="21">
        <v>190</v>
      </c>
      <c r="D25" s="5">
        <v>2085</v>
      </c>
      <c r="E25" s="5">
        <f t="shared" si="20"/>
        <v>260.625</v>
      </c>
      <c r="F25" s="5">
        <f t="shared" si="21"/>
        <v>250.2</v>
      </c>
      <c r="G25" s="5">
        <f t="shared" si="22"/>
        <v>4.17</v>
      </c>
      <c r="H25" s="5">
        <f t="shared" si="23"/>
        <v>2599.9949999999999</v>
      </c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31">
        <v>1000000</v>
      </c>
      <c r="B26" s="21">
        <v>191</v>
      </c>
      <c r="C26" s="21">
        <v>200</v>
      </c>
      <c r="D26" s="5">
        <v>2165.2000000000003</v>
      </c>
      <c r="E26" s="5">
        <f t="shared" si="4"/>
        <v>270.65000000000003</v>
      </c>
      <c r="F26" s="5">
        <f t="shared" si="5"/>
        <v>259.82400000000001</v>
      </c>
      <c r="G26" s="5">
        <f t="shared" si="6"/>
        <v>4.3304000000000009</v>
      </c>
      <c r="H26" s="5">
        <f t="shared" si="7"/>
        <v>2700.0044000000003</v>
      </c>
      <c r="I26" s="17"/>
      <c r="J26" s="17"/>
      <c r="K26" s="17"/>
      <c r="L26" s="17"/>
      <c r="M26" s="17"/>
      <c r="N26" s="17"/>
      <c r="O26" s="17"/>
      <c r="P26" s="17"/>
      <c r="Q26" s="17"/>
    </row>
    <row r="27" spans="1:17" x14ac:dyDescent="0.25">
      <c r="A27" s="31">
        <v>1500000</v>
      </c>
      <c r="B27" s="21">
        <v>201</v>
      </c>
      <c r="C27" s="21">
        <v>300</v>
      </c>
      <c r="D27" s="5">
        <v>2806.7400000000002</v>
      </c>
      <c r="E27" s="5">
        <f t="shared" ref="E27" si="24">D27*12.5%</f>
        <v>350.84250000000003</v>
      </c>
      <c r="F27" s="5">
        <f t="shared" ref="F27" si="25">D27*12%</f>
        <v>336.80880000000002</v>
      </c>
      <c r="G27" s="5">
        <f t="shared" ref="G27" si="26">D27*0.2%</f>
        <v>5.6134800000000009</v>
      </c>
      <c r="H27" s="5">
        <f t="shared" ref="H27" si="27">SUM(D27:G27)</f>
        <v>3500.0047800000002</v>
      </c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31">
        <v>2000000</v>
      </c>
      <c r="B28" s="21">
        <v>301</v>
      </c>
      <c r="C28" s="21">
        <v>400</v>
      </c>
      <c r="D28" s="5">
        <v>3608.66</v>
      </c>
      <c r="E28" s="5">
        <f t="shared" si="4"/>
        <v>451.08249999999998</v>
      </c>
      <c r="F28" s="5">
        <f t="shared" si="5"/>
        <v>433.03919999999999</v>
      </c>
      <c r="G28" s="5">
        <f t="shared" si="6"/>
        <v>7.21732</v>
      </c>
      <c r="H28" s="5">
        <f t="shared" si="7"/>
        <v>4499.9990199999993</v>
      </c>
      <c r="I28" s="17"/>
      <c r="J28" s="17"/>
      <c r="K28" s="17"/>
      <c r="L28" s="17"/>
      <c r="M28" s="17"/>
      <c r="N28" s="17"/>
      <c r="O28" s="17"/>
      <c r="P28" s="17"/>
      <c r="Q28" s="17"/>
    </row>
    <row r="29" spans="1:17" x14ac:dyDescent="0.25">
      <c r="A29" s="31">
        <v>2500000</v>
      </c>
      <c r="B29" s="21">
        <v>401</v>
      </c>
      <c r="C29" s="21">
        <v>500</v>
      </c>
      <c r="D29" s="5">
        <v>4170.0099999999993</v>
      </c>
      <c r="E29" s="5">
        <f t="shared" ref="E29" si="28">D29*12.5%</f>
        <v>521.25124999999991</v>
      </c>
      <c r="F29" s="5">
        <f t="shared" ref="F29" si="29">D29*12%</f>
        <v>500.4011999999999</v>
      </c>
      <c r="G29" s="5">
        <f t="shared" ref="G29" si="30">D29*0.2%</f>
        <v>8.3400199999999991</v>
      </c>
      <c r="H29" s="5">
        <f t="shared" ref="H29" si="31">SUM(D29:G29)</f>
        <v>5200.0024699999994</v>
      </c>
      <c r="I29" s="17"/>
      <c r="J29" s="17"/>
      <c r="K29" s="17"/>
      <c r="L29" s="17"/>
      <c r="M29" s="17"/>
      <c r="N29" s="17"/>
      <c r="O29" s="17"/>
      <c r="P29" s="17"/>
      <c r="Q29" s="17"/>
    </row>
    <row r="30" spans="1:17" x14ac:dyDescent="0.25">
      <c r="A30" s="31">
        <v>3000000</v>
      </c>
      <c r="B30" s="21">
        <v>501</v>
      </c>
      <c r="C30" s="21">
        <v>600</v>
      </c>
      <c r="D30" s="5">
        <v>4490.78</v>
      </c>
      <c r="E30" s="5">
        <f t="shared" si="4"/>
        <v>561.34749999999997</v>
      </c>
      <c r="F30" s="5">
        <f t="shared" si="5"/>
        <v>538.89359999999999</v>
      </c>
      <c r="G30" s="5">
        <f t="shared" si="6"/>
        <v>8.98156</v>
      </c>
      <c r="H30" s="5">
        <f t="shared" si="7"/>
        <v>5600.0026600000001</v>
      </c>
      <c r="I30" s="17"/>
      <c r="J30" s="17"/>
      <c r="K30" s="17"/>
      <c r="L30" s="17"/>
      <c r="M30" s="17"/>
      <c r="N30" s="17"/>
      <c r="O30" s="17"/>
      <c r="P30" s="17"/>
      <c r="Q30" s="17"/>
    </row>
    <row r="31" spans="1:17" x14ac:dyDescent="0.25">
      <c r="A31" s="31">
        <v>3500000</v>
      </c>
      <c r="B31" s="21">
        <v>601</v>
      </c>
      <c r="C31" s="21">
        <v>700</v>
      </c>
      <c r="D31" s="5">
        <v>4731.3580000000002</v>
      </c>
      <c r="E31" s="5">
        <f t="shared" ref="E31" si="32">D31*12.5%</f>
        <v>591.41975000000002</v>
      </c>
      <c r="F31" s="5">
        <f t="shared" ref="F31" si="33">D31*12%</f>
        <v>567.76296000000002</v>
      </c>
      <c r="G31" s="5">
        <f t="shared" ref="G31" si="34">D31*0.2%</f>
        <v>9.4627160000000003</v>
      </c>
      <c r="H31" s="5">
        <f t="shared" ref="H31" si="35">SUM(D31:G31)</f>
        <v>5900.0034260000002</v>
      </c>
      <c r="I31" s="17"/>
      <c r="J31" s="17"/>
      <c r="K31" s="17"/>
      <c r="L31" s="17"/>
      <c r="M31" s="17"/>
      <c r="N31" s="17"/>
      <c r="O31" s="17"/>
      <c r="P31" s="17"/>
      <c r="Q31" s="17"/>
    </row>
    <row r="32" spans="1:17" x14ac:dyDescent="0.25">
      <c r="A32" s="31">
        <v>4000000</v>
      </c>
      <c r="B32" s="21">
        <v>701</v>
      </c>
      <c r="C32" s="21">
        <v>800</v>
      </c>
      <c r="D32" s="5">
        <v>4971.93</v>
      </c>
      <c r="E32" s="5">
        <f t="shared" si="4"/>
        <v>621.49125000000004</v>
      </c>
      <c r="F32" s="5">
        <f t="shared" si="5"/>
        <v>596.63160000000005</v>
      </c>
      <c r="G32" s="5">
        <f t="shared" si="6"/>
        <v>9.9438600000000008</v>
      </c>
      <c r="H32" s="5">
        <f t="shared" si="7"/>
        <v>6199.9967100000003</v>
      </c>
      <c r="I32" s="17"/>
      <c r="J32" s="17"/>
      <c r="K32" s="17"/>
      <c r="L32" s="17"/>
      <c r="M32" s="17"/>
      <c r="N32" s="17"/>
      <c r="O32" s="17"/>
      <c r="P32" s="17"/>
      <c r="Q32" s="17"/>
    </row>
    <row r="33" spans="1:17" x14ac:dyDescent="0.25">
      <c r="A33" s="31">
        <v>4500000</v>
      </c>
      <c r="B33" s="21">
        <v>801</v>
      </c>
      <c r="C33" s="21">
        <v>900</v>
      </c>
      <c r="D33" s="5">
        <v>5212.51</v>
      </c>
      <c r="E33" s="5">
        <f t="shared" ref="E33" si="36">D33*12.5%</f>
        <v>651.56375000000003</v>
      </c>
      <c r="F33" s="5">
        <f t="shared" ref="F33" si="37">D33*12%</f>
        <v>625.50120000000004</v>
      </c>
      <c r="G33" s="5">
        <f t="shared" ref="G33" si="38">D33*0.2%</f>
        <v>10.42502</v>
      </c>
      <c r="H33" s="5">
        <f t="shared" ref="H33" si="39">SUM(D33:G33)</f>
        <v>6499.9999699999998</v>
      </c>
      <c r="I33" s="17"/>
      <c r="J33" s="17"/>
      <c r="K33" s="17"/>
      <c r="L33" s="17"/>
      <c r="M33" s="17"/>
      <c r="N33" s="17"/>
      <c r="O33" s="17"/>
      <c r="P33" s="17"/>
      <c r="Q33" s="17"/>
    </row>
    <row r="34" spans="1:17" x14ac:dyDescent="0.25">
      <c r="A34" s="31">
        <v>5000000</v>
      </c>
      <c r="B34" s="21">
        <v>901</v>
      </c>
      <c r="C34" s="21">
        <v>1000</v>
      </c>
      <c r="D34" s="5">
        <v>5412.99</v>
      </c>
      <c r="E34" s="5">
        <f t="shared" si="4"/>
        <v>676.62374999999997</v>
      </c>
      <c r="F34" s="5">
        <f t="shared" si="5"/>
        <v>649.55879999999991</v>
      </c>
      <c r="G34" s="5">
        <f t="shared" si="6"/>
        <v>10.825979999999999</v>
      </c>
      <c r="H34" s="5">
        <f t="shared" si="7"/>
        <v>6749.9985299999989</v>
      </c>
      <c r="I34" s="17"/>
      <c r="J34" s="17"/>
      <c r="K34" s="17"/>
      <c r="L34" s="17"/>
      <c r="M34" s="17"/>
      <c r="N34" s="17"/>
      <c r="O34" s="17"/>
      <c r="P34" s="17"/>
      <c r="Q34" s="17"/>
    </row>
    <row r="35" spans="1:17" x14ac:dyDescent="0.25">
      <c r="A35" s="31">
        <v>5500000</v>
      </c>
      <c r="B35" s="21">
        <v>1001</v>
      </c>
      <c r="C35" s="21" t="s">
        <v>90</v>
      </c>
      <c r="D35" s="5">
        <v>5613.47</v>
      </c>
      <c r="E35" s="5">
        <f t="shared" ref="E35" si="40">D35*12.5%</f>
        <v>701.68375000000003</v>
      </c>
      <c r="F35" s="5">
        <f t="shared" ref="F35" si="41">D35*12%</f>
        <v>673.6164</v>
      </c>
      <c r="G35" s="5">
        <f t="shared" ref="G35" si="42">D35*0.2%</f>
        <v>11.226940000000001</v>
      </c>
      <c r="H35" s="5">
        <f t="shared" ref="H35" si="43">SUM(D35:G35)</f>
        <v>6999.9970899999998</v>
      </c>
    </row>
    <row r="36" spans="1:17" x14ac:dyDescent="0.25">
      <c r="E36" s="13"/>
    </row>
  </sheetData>
  <mergeCells count="3">
    <mergeCell ref="A5:A7"/>
    <mergeCell ref="B5:C6"/>
    <mergeCell ref="D5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A783-83EA-4EBA-B8FE-466139C42903}">
  <sheetPr>
    <tabColor theme="8"/>
  </sheetPr>
  <dimension ref="A1:Q36"/>
  <sheetViews>
    <sheetView zoomScaleNormal="100" workbookViewId="0">
      <pane ySplit="7" topLeftCell="A22" activePane="bottomLeft" state="frozen"/>
      <selection pane="bottomLeft" activeCell="B35" sqref="B35"/>
    </sheetView>
  </sheetViews>
  <sheetFormatPr defaultRowHeight="15" x14ac:dyDescent="0.25"/>
  <cols>
    <col min="1" max="1" width="23.140625" customWidth="1"/>
    <col min="2" max="2" width="14.85546875" customWidth="1"/>
    <col min="3" max="3" width="12.28515625" customWidth="1"/>
    <col min="4" max="4" width="16.85546875" customWidth="1"/>
    <col min="5" max="5" width="18.5703125" customWidth="1"/>
    <col min="6" max="6" width="16.42578125" customWidth="1"/>
    <col min="7" max="7" width="14.7109375" customWidth="1"/>
    <col min="8" max="8" width="15" customWidth="1"/>
    <col min="9" max="9" width="18.28515625" bestFit="1" customWidth="1"/>
    <col min="10" max="10" width="17.85546875" bestFit="1" customWidth="1"/>
    <col min="11" max="11" width="18.28515625" bestFit="1" customWidth="1"/>
    <col min="12" max="12" width="19.140625" bestFit="1" customWidth="1"/>
    <col min="13" max="14" width="15" bestFit="1" customWidth="1"/>
    <col min="15" max="15" width="12.140625" bestFit="1" customWidth="1"/>
    <col min="16" max="16" width="14.140625" bestFit="1" customWidth="1"/>
    <col min="17" max="17" width="14.42578125" bestFit="1" customWidth="1"/>
  </cols>
  <sheetData>
    <row r="1" spans="1:17" s="3" customFormat="1" x14ac:dyDescent="0.25">
      <c r="A1" s="1" t="s">
        <v>70</v>
      </c>
      <c r="B1" s="1"/>
      <c r="D1" s="4"/>
      <c r="E1" s="4"/>
      <c r="F1" s="4"/>
      <c r="G1" s="4"/>
      <c r="H1" s="4"/>
    </row>
    <row r="2" spans="1:17" s="3" customFormat="1" ht="14.25" x14ac:dyDescent="0.2">
      <c r="A2" s="2" t="s">
        <v>71</v>
      </c>
      <c r="B2" s="2"/>
      <c r="D2" s="4"/>
      <c r="E2" s="4"/>
      <c r="F2" s="4"/>
      <c r="G2" s="4"/>
      <c r="H2" s="4"/>
    </row>
    <row r="3" spans="1:17" s="3" customFormat="1" ht="14.25" x14ac:dyDescent="0.2">
      <c r="A3" s="2" t="s">
        <v>93</v>
      </c>
      <c r="B3" s="2"/>
      <c r="D3" s="4"/>
      <c r="E3" s="4"/>
      <c r="F3" s="4"/>
      <c r="G3" s="4"/>
      <c r="H3" s="4"/>
    </row>
    <row r="4" spans="1:17" x14ac:dyDescent="0.25">
      <c r="A4" s="6"/>
      <c r="B4" s="6"/>
      <c r="C4" s="3"/>
      <c r="D4" s="4"/>
      <c r="E4" s="4"/>
      <c r="F4" s="4"/>
      <c r="G4" s="4"/>
      <c r="H4" s="4"/>
    </row>
    <row r="5" spans="1:17" x14ac:dyDescent="0.25">
      <c r="A5" s="45" t="s">
        <v>0</v>
      </c>
      <c r="B5" s="35" t="s">
        <v>88</v>
      </c>
      <c r="C5" s="36"/>
      <c r="D5" s="39" t="s">
        <v>1</v>
      </c>
      <c r="E5" s="40"/>
      <c r="F5" s="40"/>
      <c r="G5" s="40"/>
      <c r="H5" s="41"/>
    </row>
    <row r="6" spans="1:17" ht="9.75" customHeight="1" x14ac:dyDescent="0.25">
      <c r="A6" s="45"/>
      <c r="B6" s="37"/>
      <c r="C6" s="38"/>
      <c r="D6" s="42"/>
      <c r="E6" s="43"/>
      <c r="F6" s="43"/>
      <c r="G6" s="43"/>
      <c r="H6" s="44"/>
    </row>
    <row r="7" spans="1:17" ht="20.25" customHeight="1" x14ac:dyDescent="0.25">
      <c r="A7" s="45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5" t="s">
        <v>73</v>
      </c>
    </row>
    <row r="8" spans="1:17" x14ac:dyDescent="0.25">
      <c r="A8" s="31">
        <v>100000</v>
      </c>
      <c r="B8" s="21">
        <v>1</v>
      </c>
      <c r="C8" s="21">
        <v>20</v>
      </c>
      <c r="D8" s="5">
        <v>481.15800000000002</v>
      </c>
      <c r="E8" s="5">
        <f>D8*12.5%</f>
        <v>60.144750000000002</v>
      </c>
      <c r="F8" s="5">
        <f>D8*12%</f>
        <v>57.738959999999999</v>
      </c>
      <c r="G8" s="5">
        <f>D8*0.2%</f>
        <v>0.96231600000000006</v>
      </c>
      <c r="H8" s="5">
        <f>SUM(D8:G8)</f>
        <v>600.00402600000007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31">
        <v>150000</v>
      </c>
      <c r="B9" s="21">
        <v>21</v>
      </c>
      <c r="C9" s="21">
        <v>30</v>
      </c>
      <c r="D9" s="5">
        <v>641.54000000000008</v>
      </c>
      <c r="E9" s="5">
        <f t="shared" ref="E9:E35" si="0">D9*12.5%</f>
        <v>80.19250000000001</v>
      </c>
      <c r="F9" s="5">
        <f t="shared" ref="F9:F35" si="1">D9*12%</f>
        <v>76.984800000000007</v>
      </c>
      <c r="G9" s="5">
        <f t="shared" ref="G9:G35" si="2">D9*0.2%</f>
        <v>1.2830800000000002</v>
      </c>
      <c r="H9" s="5">
        <f t="shared" ref="H9:H35" si="3">SUM(D9:G9)</f>
        <v>800.00038000000006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31">
        <v>200000</v>
      </c>
      <c r="B10" s="21">
        <v>31</v>
      </c>
      <c r="C10" s="21">
        <v>40</v>
      </c>
      <c r="D10" s="5">
        <v>761.82999999999993</v>
      </c>
      <c r="E10" s="5">
        <f t="shared" si="0"/>
        <v>95.228749999999991</v>
      </c>
      <c r="F10" s="5">
        <f t="shared" si="1"/>
        <v>91.419599999999988</v>
      </c>
      <c r="G10" s="5">
        <f t="shared" si="2"/>
        <v>1.5236599999999998</v>
      </c>
      <c r="H10" s="5">
        <f t="shared" si="3"/>
        <v>950.00200999999981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31">
        <v>250000</v>
      </c>
      <c r="B11" s="21">
        <v>41</v>
      </c>
      <c r="C11" s="21">
        <v>50</v>
      </c>
      <c r="D11" s="5">
        <v>842.02</v>
      </c>
      <c r="E11" s="5">
        <f t="shared" si="0"/>
        <v>105.2525</v>
      </c>
      <c r="F11" s="5">
        <f t="shared" si="1"/>
        <v>101.0424</v>
      </c>
      <c r="G11" s="5">
        <f t="shared" si="2"/>
        <v>1.68404</v>
      </c>
      <c r="H11" s="5">
        <f t="shared" si="3"/>
        <v>1049.9989400000002</v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25">
      <c r="A12" s="31">
        <v>300000</v>
      </c>
      <c r="B12" s="21">
        <v>51</v>
      </c>
      <c r="C12" s="21">
        <v>60</v>
      </c>
      <c r="D12" s="5">
        <v>962.31</v>
      </c>
      <c r="E12" s="5">
        <f t="shared" si="0"/>
        <v>120.28874999999999</v>
      </c>
      <c r="F12" s="5">
        <f t="shared" si="1"/>
        <v>115.47719999999998</v>
      </c>
      <c r="G12" s="5">
        <f t="shared" si="2"/>
        <v>1.92462</v>
      </c>
      <c r="H12" s="5">
        <f t="shared" si="3"/>
        <v>1200.0005699999999</v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31">
        <v>350000</v>
      </c>
      <c r="B13" s="21">
        <v>61</v>
      </c>
      <c r="C13" s="21">
        <v>70</v>
      </c>
      <c r="D13" s="5">
        <v>1082.5999999999999</v>
      </c>
      <c r="E13" s="5">
        <f t="shared" si="0"/>
        <v>135.32499999999999</v>
      </c>
      <c r="F13" s="5">
        <f t="shared" si="1"/>
        <v>129.91199999999998</v>
      </c>
      <c r="G13" s="5">
        <f t="shared" si="2"/>
        <v>2.1652</v>
      </c>
      <c r="H13" s="5">
        <f t="shared" si="3"/>
        <v>1350.0021999999999</v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25">
      <c r="A14" s="31">
        <v>400000</v>
      </c>
      <c r="B14" s="21">
        <v>71</v>
      </c>
      <c r="C14" s="21">
        <v>80</v>
      </c>
      <c r="D14" s="5">
        <v>1202.8899999999999</v>
      </c>
      <c r="E14" s="5">
        <f t="shared" si="0"/>
        <v>150.36124999999998</v>
      </c>
      <c r="F14" s="5">
        <f t="shared" si="1"/>
        <v>144.34679999999997</v>
      </c>
      <c r="G14" s="5">
        <f t="shared" si="2"/>
        <v>2.4057799999999996</v>
      </c>
      <c r="H14" s="5">
        <f t="shared" si="3"/>
        <v>1500.0038299999999</v>
      </c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31">
        <v>450000</v>
      </c>
      <c r="B15" s="21">
        <v>81</v>
      </c>
      <c r="C15" s="21">
        <v>90</v>
      </c>
      <c r="D15" s="5">
        <v>1283.0800000000002</v>
      </c>
      <c r="E15" s="5">
        <f t="shared" si="0"/>
        <v>160.38500000000002</v>
      </c>
      <c r="F15" s="5">
        <f t="shared" si="1"/>
        <v>153.96960000000001</v>
      </c>
      <c r="G15" s="5">
        <f t="shared" si="2"/>
        <v>2.5661600000000004</v>
      </c>
      <c r="H15" s="5">
        <f t="shared" si="3"/>
        <v>1600.0007600000001</v>
      </c>
      <c r="I15" s="17"/>
      <c r="J15" s="17"/>
      <c r="K15" s="17"/>
      <c r="L15" s="17"/>
      <c r="M15" s="17"/>
      <c r="N15" s="17"/>
      <c r="O15" s="17"/>
      <c r="P15" s="17"/>
      <c r="Q15" s="17"/>
    </row>
    <row r="16" spans="1:17" x14ac:dyDescent="0.25">
      <c r="A16" s="31">
        <v>500000</v>
      </c>
      <c r="B16" s="21">
        <v>91</v>
      </c>
      <c r="C16" s="21">
        <v>100</v>
      </c>
      <c r="D16" s="5">
        <v>1363.27</v>
      </c>
      <c r="E16" s="5">
        <f t="shared" si="0"/>
        <v>170.40875</v>
      </c>
      <c r="F16" s="5">
        <f t="shared" si="1"/>
        <v>163.5924</v>
      </c>
      <c r="G16" s="5">
        <f t="shared" si="2"/>
        <v>2.72654</v>
      </c>
      <c r="H16" s="5">
        <f t="shared" si="3"/>
        <v>1699.9976900000001</v>
      </c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25">
      <c r="A17" s="31">
        <v>550000</v>
      </c>
      <c r="B17" s="21">
        <v>101</v>
      </c>
      <c r="C17" s="21">
        <v>110</v>
      </c>
      <c r="D17" s="5">
        <v>1443.4680000000001</v>
      </c>
      <c r="E17" s="5">
        <f t="shared" si="0"/>
        <v>180.43350000000001</v>
      </c>
      <c r="F17" s="5">
        <f t="shared" si="1"/>
        <v>173.21616</v>
      </c>
      <c r="G17" s="5">
        <f t="shared" si="2"/>
        <v>2.8869360000000004</v>
      </c>
      <c r="H17" s="5">
        <f t="shared" si="3"/>
        <v>1800.0045960000002</v>
      </c>
      <c r="I17" s="17"/>
      <c r="J17" s="17"/>
      <c r="K17" s="17"/>
      <c r="L17" s="17"/>
      <c r="M17" s="17"/>
      <c r="N17" s="17"/>
      <c r="O17" s="17"/>
      <c r="P17" s="17"/>
      <c r="Q17" s="17"/>
    </row>
    <row r="18" spans="1:17" x14ac:dyDescent="0.25">
      <c r="A18" s="31">
        <v>600000</v>
      </c>
      <c r="B18" s="21">
        <v>111</v>
      </c>
      <c r="C18" s="21">
        <v>120</v>
      </c>
      <c r="D18" s="5">
        <v>1523.6599999999999</v>
      </c>
      <c r="E18" s="5">
        <f t="shared" si="0"/>
        <v>190.45749999999998</v>
      </c>
      <c r="F18" s="5">
        <f t="shared" si="1"/>
        <v>182.83919999999998</v>
      </c>
      <c r="G18" s="5">
        <f t="shared" si="2"/>
        <v>3.0473199999999996</v>
      </c>
      <c r="H18" s="5">
        <f t="shared" si="3"/>
        <v>1900.0040199999996</v>
      </c>
      <c r="I18" s="17"/>
      <c r="J18" s="17"/>
      <c r="K18" s="17"/>
      <c r="L18" s="17"/>
      <c r="M18" s="17"/>
      <c r="N18" s="17"/>
      <c r="O18" s="17"/>
      <c r="P18" s="17"/>
      <c r="Q18" s="17"/>
    </row>
    <row r="19" spans="1:17" x14ac:dyDescent="0.25">
      <c r="A19" s="31">
        <v>650000</v>
      </c>
      <c r="B19" s="21">
        <v>121</v>
      </c>
      <c r="C19" s="21">
        <v>130</v>
      </c>
      <c r="D19" s="5">
        <v>1603.8500000000001</v>
      </c>
      <c r="E19" s="5">
        <f t="shared" si="0"/>
        <v>200.48125000000002</v>
      </c>
      <c r="F19" s="5">
        <f t="shared" si="1"/>
        <v>192.46200000000002</v>
      </c>
      <c r="G19" s="5">
        <f t="shared" si="2"/>
        <v>3.2077000000000004</v>
      </c>
      <c r="H19" s="5">
        <f t="shared" si="3"/>
        <v>2000.0009500000001</v>
      </c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31">
        <v>700000</v>
      </c>
      <c r="B20" s="21">
        <v>131</v>
      </c>
      <c r="C20" s="21">
        <v>140</v>
      </c>
      <c r="D20" s="5">
        <v>1684.04</v>
      </c>
      <c r="E20" s="5">
        <f t="shared" si="0"/>
        <v>210.505</v>
      </c>
      <c r="F20" s="5">
        <f t="shared" si="1"/>
        <v>202.0848</v>
      </c>
      <c r="G20" s="5">
        <f t="shared" si="2"/>
        <v>3.36808</v>
      </c>
      <c r="H20" s="5">
        <f t="shared" si="3"/>
        <v>2099.9978800000004</v>
      </c>
      <c r="I20" s="17"/>
      <c r="J20" s="17"/>
      <c r="K20" s="17"/>
      <c r="L20" s="17"/>
      <c r="M20" s="17"/>
      <c r="N20" s="17"/>
      <c r="O20" s="17"/>
      <c r="P20" s="17"/>
      <c r="Q20" s="17"/>
    </row>
    <row r="21" spans="1:17" x14ac:dyDescent="0.25">
      <c r="A21" s="31">
        <v>750000</v>
      </c>
      <c r="B21" s="21">
        <v>141</v>
      </c>
      <c r="C21" s="21">
        <v>150</v>
      </c>
      <c r="D21" s="5">
        <v>1780.27</v>
      </c>
      <c r="E21" s="5">
        <f t="shared" si="0"/>
        <v>222.53375</v>
      </c>
      <c r="F21" s="5">
        <f t="shared" si="1"/>
        <v>213.63239999999999</v>
      </c>
      <c r="G21" s="5">
        <f t="shared" si="2"/>
        <v>3.56054</v>
      </c>
      <c r="H21" s="5">
        <f t="shared" si="3"/>
        <v>2219.9966899999999</v>
      </c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31">
        <v>800000</v>
      </c>
      <c r="B22" s="21">
        <v>151</v>
      </c>
      <c r="C22" s="21">
        <v>160</v>
      </c>
      <c r="D22" s="5">
        <v>1844.43</v>
      </c>
      <c r="E22" s="5">
        <f t="shared" si="0"/>
        <v>230.55375000000001</v>
      </c>
      <c r="F22" s="5">
        <f t="shared" si="1"/>
        <v>221.33160000000001</v>
      </c>
      <c r="G22" s="5">
        <f t="shared" si="2"/>
        <v>3.68886</v>
      </c>
      <c r="H22" s="5">
        <f t="shared" si="3"/>
        <v>2300.0042100000001</v>
      </c>
      <c r="I22" s="17"/>
      <c r="J22" s="17"/>
      <c r="K22" s="17"/>
      <c r="L22" s="17"/>
      <c r="M22" s="17"/>
      <c r="N22" s="17"/>
      <c r="O22" s="17"/>
      <c r="P22" s="17"/>
      <c r="Q22" s="17"/>
    </row>
    <row r="23" spans="1:17" x14ac:dyDescent="0.25">
      <c r="A23" s="31">
        <v>850000</v>
      </c>
      <c r="B23" s="21">
        <v>161</v>
      </c>
      <c r="C23" s="21">
        <v>170</v>
      </c>
      <c r="D23" s="5">
        <v>1924.62</v>
      </c>
      <c r="E23" s="5">
        <f t="shared" si="0"/>
        <v>240.57749999999999</v>
      </c>
      <c r="F23" s="5">
        <f t="shared" si="1"/>
        <v>230.95439999999996</v>
      </c>
      <c r="G23" s="5">
        <f t="shared" si="2"/>
        <v>3.84924</v>
      </c>
      <c r="H23" s="5">
        <f t="shared" si="3"/>
        <v>2400.0011399999999</v>
      </c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31">
        <v>900000</v>
      </c>
      <c r="B24" s="21">
        <v>171</v>
      </c>
      <c r="C24" s="21">
        <v>180</v>
      </c>
      <c r="D24" s="5">
        <v>2004.8100000000002</v>
      </c>
      <c r="E24" s="5">
        <f t="shared" si="0"/>
        <v>250.60125000000002</v>
      </c>
      <c r="F24" s="5">
        <f t="shared" si="1"/>
        <v>240.5772</v>
      </c>
      <c r="G24" s="5">
        <f t="shared" si="2"/>
        <v>4.0096200000000009</v>
      </c>
      <c r="H24" s="5">
        <f t="shared" si="3"/>
        <v>2499.9980700000001</v>
      </c>
      <c r="I24" s="17"/>
      <c r="J24" s="17"/>
      <c r="K24" s="17"/>
      <c r="L24" s="17"/>
      <c r="M24" s="17"/>
      <c r="N24" s="17"/>
      <c r="O24" s="17"/>
      <c r="P24" s="17"/>
      <c r="Q24" s="17"/>
    </row>
    <row r="25" spans="1:17" x14ac:dyDescent="0.25">
      <c r="A25" s="31">
        <v>950000</v>
      </c>
      <c r="B25" s="21">
        <v>181</v>
      </c>
      <c r="C25" s="21">
        <v>190</v>
      </c>
      <c r="D25" s="5">
        <v>2085</v>
      </c>
      <c r="E25" s="5">
        <f t="shared" si="0"/>
        <v>260.625</v>
      </c>
      <c r="F25" s="5">
        <f t="shared" si="1"/>
        <v>250.2</v>
      </c>
      <c r="G25" s="5">
        <f t="shared" si="2"/>
        <v>4.17</v>
      </c>
      <c r="H25" s="5">
        <f t="shared" si="3"/>
        <v>2599.9949999999999</v>
      </c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31">
        <v>1000000</v>
      </c>
      <c r="B26" s="21">
        <v>191</v>
      </c>
      <c r="C26" s="21">
        <v>200</v>
      </c>
      <c r="D26" s="5">
        <v>2165.2000000000003</v>
      </c>
      <c r="E26" s="5">
        <f t="shared" si="0"/>
        <v>270.65000000000003</v>
      </c>
      <c r="F26" s="5">
        <f t="shared" si="1"/>
        <v>259.82400000000001</v>
      </c>
      <c r="G26" s="5">
        <f t="shared" si="2"/>
        <v>4.3304000000000009</v>
      </c>
      <c r="H26" s="5">
        <f t="shared" si="3"/>
        <v>2700.0044000000003</v>
      </c>
      <c r="I26" s="17"/>
      <c r="J26" s="17"/>
      <c r="K26" s="17"/>
      <c r="L26" s="17"/>
      <c r="M26" s="17"/>
      <c r="N26" s="17"/>
      <c r="O26" s="17"/>
      <c r="P26" s="17"/>
      <c r="Q26" s="17"/>
    </row>
    <row r="27" spans="1:17" x14ac:dyDescent="0.25">
      <c r="A27" s="31">
        <v>1500000</v>
      </c>
      <c r="B27" s="21">
        <v>201</v>
      </c>
      <c r="C27" s="21">
        <v>300</v>
      </c>
      <c r="D27" s="5">
        <v>2806.7400000000002</v>
      </c>
      <c r="E27" s="5">
        <f t="shared" si="0"/>
        <v>350.84250000000003</v>
      </c>
      <c r="F27" s="5">
        <f t="shared" si="1"/>
        <v>336.80880000000002</v>
      </c>
      <c r="G27" s="5">
        <f t="shared" si="2"/>
        <v>5.6134800000000009</v>
      </c>
      <c r="H27" s="5">
        <f t="shared" si="3"/>
        <v>3500.0047800000002</v>
      </c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31">
        <v>2000000</v>
      </c>
      <c r="B28" s="21">
        <v>301</v>
      </c>
      <c r="C28" s="21">
        <v>400</v>
      </c>
      <c r="D28" s="5">
        <v>3608.66</v>
      </c>
      <c r="E28" s="5">
        <f t="shared" si="0"/>
        <v>451.08249999999998</v>
      </c>
      <c r="F28" s="5">
        <f t="shared" si="1"/>
        <v>433.03919999999999</v>
      </c>
      <c r="G28" s="5">
        <f t="shared" si="2"/>
        <v>7.21732</v>
      </c>
      <c r="H28" s="5">
        <f t="shared" si="3"/>
        <v>4499.9990199999993</v>
      </c>
      <c r="I28" s="17"/>
      <c r="J28" s="17"/>
      <c r="K28" s="17"/>
      <c r="L28" s="17"/>
      <c r="M28" s="17"/>
      <c r="N28" s="17"/>
      <c r="O28" s="17"/>
      <c r="P28" s="17"/>
      <c r="Q28" s="17"/>
    </row>
    <row r="29" spans="1:17" x14ac:dyDescent="0.25">
      <c r="A29" s="31">
        <v>2500000</v>
      </c>
      <c r="B29" s="21">
        <v>401</v>
      </c>
      <c r="C29" s="21">
        <v>500</v>
      </c>
      <c r="D29" s="5">
        <v>4170.0099999999993</v>
      </c>
      <c r="E29" s="5">
        <f t="shared" si="0"/>
        <v>521.25124999999991</v>
      </c>
      <c r="F29" s="5">
        <f t="shared" si="1"/>
        <v>500.4011999999999</v>
      </c>
      <c r="G29" s="5">
        <f t="shared" si="2"/>
        <v>8.3400199999999991</v>
      </c>
      <c r="H29" s="5">
        <f t="shared" si="3"/>
        <v>5200.0024699999994</v>
      </c>
      <c r="I29" s="17"/>
      <c r="J29" s="17"/>
      <c r="K29" s="17"/>
      <c r="L29" s="17"/>
      <c r="M29" s="17"/>
      <c r="N29" s="17"/>
      <c r="O29" s="17"/>
      <c r="P29" s="17"/>
      <c r="Q29" s="17"/>
    </row>
    <row r="30" spans="1:17" x14ac:dyDescent="0.25">
      <c r="A30" s="31">
        <v>3000000</v>
      </c>
      <c r="B30" s="21">
        <v>501</v>
      </c>
      <c r="C30" s="21">
        <v>600</v>
      </c>
      <c r="D30" s="5">
        <v>4490.78</v>
      </c>
      <c r="E30" s="5">
        <f t="shared" si="0"/>
        <v>561.34749999999997</v>
      </c>
      <c r="F30" s="5">
        <f t="shared" si="1"/>
        <v>538.89359999999999</v>
      </c>
      <c r="G30" s="5">
        <f t="shared" si="2"/>
        <v>8.98156</v>
      </c>
      <c r="H30" s="5">
        <f t="shared" si="3"/>
        <v>5600.0026600000001</v>
      </c>
      <c r="I30" s="17"/>
      <c r="J30" s="17"/>
      <c r="K30" s="17"/>
      <c r="L30" s="17"/>
      <c r="M30" s="17"/>
      <c r="N30" s="17"/>
      <c r="O30" s="17"/>
      <c r="P30" s="17"/>
      <c r="Q30" s="17"/>
    </row>
    <row r="31" spans="1:17" x14ac:dyDescent="0.25">
      <c r="A31" s="31">
        <v>3500000</v>
      </c>
      <c r="B31" s="21">
        <v>601</v>
      </c>
      <c r="C31" s="21">
        <v>700</v>
      </c>
      <c r="D31" s="5">
        <v>4731.3580000000002</v>
      </c>
      <c r="E31" s="5">
        <f t="shared" si="0"/>
        <v>591.41975000000002</v>
      </c>
      <c r="F31" s="5">
        <f t="shared" si="1"/>
        <v>567.76296000000002</v>
      </c>
      <c r="G31" s="5">
        <f t="shared" si="2"/>
        <v>9.4627160000000003</v>
      </c>
      <c r="H31" s="5">
        <f t="shared" si="3"/>
        <v>5900.0034260000002</v>
      </c>
      <c r="I31" s="17"/>
      <c r="J31" s="17"/>
      <c r="K31" s="17"/>
      <c r="L31" s="17"/>
      <c r="M31" s="17"/>
      <c r="N31" s="17"/>
      <c r="O31" s="17"/>
      <c r="P31" s="17"/>
      <c r="Q31" s="17"/>
    </row>
    <row r="32" spans="1:17" x14ac:dyDescent="0.25">
      <c r="A32" s="31">
        <v>4000000</v>
      </c>
      <c r="B32" s="21">
        <v>701</v>
      </c>
      <c r="C32" s="21">
        <v>800</v>
      </c>
      <c r="D32" s="5">
        <v>4971.93</v>
      </c>
      <c r="E32" s="5">
        <f t="shared" si="0"/>
        <v>621.49125000000004</v>
      </c>
      <c r="F32" s="5">
        <f t="shared" si="1"/>
        <v>596.63160000000005</v>
      </c>
      <c r="G32" s="5">
        <f t="shared" si="2"/>
        <v>9.9438600000000008</v>
      </c>
      <c r="H32" s="5">
        <f t="shared" si="3"/>
        <v>6199.9967100000003</v>
      </c>
      <c r="I32" s="17"/>
      <c r="J32" s="17"/>
      <c r="K32" s="17"/>
      <c r="L32" s="17"/>
      <c r="M32" s="17"/>
      <c r="N32" s="17"/>
      <c r="O32" s="17"/>
      <c r="P32" s="17"/>
      <c r="Q32" s="17"/>
    </row>
    <row r="33" spans="1:17" x14ac:dyDescent="0.25">
      <c r="A33" s="31">
        <v>4500000</v>
      </c>
      <c r="B33" s="21">
        <v>801</v>
      </c>
      <c r="C33" s="21">
        <v>900</v>
      </c>
      <c r="D33" s="5">
        <v>5212.51</v>
      </c>
      <c r="E33" s="5">
        <f t="shared" si="0"/>
        <v>651.56375000000003</v>
      </c>
      <c r="F33" s="5">
        <f t="shared" si="1"/>
        <v>625.50120000000004</v>
      </c>
      <c r="G33" s="5">
        <f t="shared" si="2"/>
        <v>10.42502</v>
      </c>
      <c r="H33" s="5">
        <f t="shared" si="3"/>
        <v>6499.9999699999998</v>
      </c>
      <c r="I33" s="17"/>
      <c r="J33" s="17"/>
      <c r="K33" s="17"/>
      <c r="L33" s="17"/>
      <c r="M33" s="17"/>
      <c r="N33" s="17"/>
      <c r="O33" s="17"/>
      <c r="P33" s="17"/>
      <c r="Q33" s="17"/>
    </row>
    <row r="34" spans="1:17" x14ac:dyDescent="0.25">
      <c r="A34" s="31">
        <v>5000000</v>
      </c>
      <c r="B34" s="21">
        <v>901</v>
      </c>
      <c r="C34" s="21">
        <v>1000</v>
      </c>
      <c r="D34" s="5">
        <v>5412.99</v>
      </c>
      <c r="E34" s="5">
        <f t="shared" si="0"/>
        <v>676.62374999999997</v>
      </c>
      <c r="F34" s="5">
        <f t="shared" si="1"/>
        <v>649.55879999999991</v>
      </c>
      <c r="G34" s="5">
        <f t="shared" si="2"/>
        <v>10.825979999999999</v>
      </c>
      <c r="H34" s="5">
        <f t="shared" si="3"/>
        <v>6749.9985299999989</v>
      </c>
      <c r="I34" s="17"/>
      <c r="J34" s="17"/>
      <c r="K34" s="17"/>
      <c r="L34" s="17"/>
      <c r="M34" s="17"/>
      <c r="N34" s="17"/>
      <c r="O34" s="17"/>
      <c r="P34" s="17"/>
      <c r="Q34" s="17"/>
    </row>
    <row r="35" spans="1:17" x14ac:dyDescent="0.25">
      <c r="A35" s="31">
        <v>5500000</v>
      </c>
      <c r="B35" s="21">
        <v>1001</v>
      </c>
      <c r="C35" s="21" t="s">
        <v>90</v>
      </c>
      <c r="D35" s="5">
        <v>5613.47</v>
      </c>
      <c r="E35" s="5">
        <f t="shared" si="0"/>
        <v>701.68375000000003</v>
      </c>
      <c r="F35" s="5">
        <f t="shared" si="1"/>
        <v>673.6164</v>
      </c>
      <c r="G35" s="5">
        <f t="shared" si="2"/>
        <v>11.226940000000001</v>
      </c>
      <c r="H35" s="5">
        <f t="shared" si="3"/>
        <v>6999.9970899999998</v>
      </c>
    </row>
    <row r="36" spans="1:17" x14ac:dyDescent="0.25">
      <c r="E36" s="13"/>
    </row>
  </sheetData>
  <mergeCells count="3">
    <mergeCell ref="A5:A7"/>
    <mergeCell ref="B5:C6"/>
    <mergeCell ref="D5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DA1A-0142-4926-B1C9-A37A2B87C507}">
  <sheetPr>
    <tabColor theme="8"/>
  </sheetPr>
  <dimension ref="A1:Q36"/>
  <sheetViews>
    <sheetView zoomScaleNormal="100" workbookViewId="0">
      <pane ySplit="7" topLeftCell="A8" activePane="bottomLeft" state="frozen"/>
      <selection pane="bottomLeft" activeCell="H3" sqref="H3"/>
    </sheetView>
  </sheetViews>
  <sheetFormatPr defaultRowHeight="15" x14ac:dyDescent="0.25"/>
  <cols>
    <col min="1" max="1" width="23.28515625" customWidth="1"/>
    <col min="2" max="2" width="15.42578125" customWidth="1"/>
    <col min="3" max="3" width="11.7109375" customWidth="1"/>
    <col min="4" max="4" width="17" customWidth="1"/>
    <col min="5" max="5" width="19.28515625" customWidth="1"/>
    <col min="6" max="6" width="16.42578125" customWidth="1"/>
    <col min="7" max="7" width="15" customWidth="1"/>
    <col min="8" max="8" width="16.28515625" customWidth="1"/>
    <col min="9" max="9" width="18.28515625" bestFit="1" customWidth="1"/>
    <col min="10" max="10" width="17.85546875" bestFit="1" customWidth="1"/>
    <col min="11" max="11" width="18.28515625" bestFit="1" customWidth="1"/>
    <col min="12" max="12" width="19.140625" bestFit="1" customWidth="1"/>
    <col min="13" max="14" width="15" bestFit="1" customWidth="1"/>
    <col min="15" max="15" width="12.140625" bestFit="1" customWidth="1"/>
    <col min="16" max="16" width="14.140625" bestFit="1" customWidth="1"/>
    <col min="17" max="17" width="14.42578125" bestFit="1" customWidth="1"/>
  </cols>
  <sheetData>
    <row r="1" spans="1:17" s="3" customFormat="1" x14ac:dyDescent="0.25">
      <c r="A1" s="1" t="s">
        <v>70</v>
      </c>
      <c r="B1" s="1"/>
      <c r="D1" s="4"/>
      <c r="E1" s="4"/>
      <c r="F1" s="4"/>
      <c r="G1" s="4"/>
      <c r="H1" s="4"/>
    </row>
    <row r="2" spans="1:17" s="3" customFormat="1" ht="14.25" x14ac:dyDescent="0.2">
      <c r="A2" s="2" t="s">
        <v>71</v>
      </c>
      <c r="B2" s="2"/>
      <c r="D2" s="4"/>
      <c r="E2" s="4"/>
      <c r="F2" s="4"/>
      <c r="G2" s="4"/>
      <c r="H2" s="4"/>
    </row>
    <row r="3" spans="1:17" s="3" customFormat="1" ht="14.25" x14ac:dyDescent="0.2">
      <c r="A3" s="2" t="s">
        <v>92</v>
      </c>
      <c r="B3" s="2"/>
      <c r="D3" s="4"/>
      <c r="E3" s="4"/>
      <c r="F3" s="4"/>
      <c r="G3" s="4"/>
      <c r="H3" s="4"/>
    </row>
    <row r="4" spans="1:17" x14ac:dyDescent="0.25">
      <c r="A4" s="6"/>
      <c r="B4" s="6"/>
      <c r="C4" s="3"/>
      <c r="D4" s="4"/>
      <c r="E4" s="4"/>
      <c r="F4" s="4"/>
      <c r="G4" s="4"/>
      <c r="H4" s="4"/>
    </row>
    <row r="5" spans="1:17" x14ac:dyDescent="0.25">
      <c r="A5" s="45" t="s">
        <v>0</v>
      </c>
      <c r="B5" s="35" t="s">
        <v>88</v>
      </c>
      <c r="C5" s="36"/>
      <c r="D5" s="39" t="s">
        <v>1</v>
      </c>
      <c r="E5" s="40"/>
      <c r="F5" s="40"/>
      <c r="G5" s="40"/>
      <c r="H5" s="41"/>
    </row>
    <row r="6" spans="1:17" ht="9.75" customHeight="1" x14ac:dyDescent="0.25">
      <c r="A6" s="45"/>
      <c r="B6" s="37"/>
      <c r="C6" s="38"/>
      <c r="D6" s="42"/>
      <c r="E6" s="43"/>
      <c r="F6" s="43"/>
      <c r="G6" s="43"/>
      <c r="H6" s="44"/>
    </row>
    <row r="7" spans="1:17" ht="20.25" customHeight="1" x14ac:dyDescent="0.25">
      <c r="A7" s="45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5" t="s">
        <v>73</v>
      </c>
    </row>
    <row r="8" spans="1:17" x14ac:dyDescent="0.25">
      <c r="A8" s="31">
        <v>100000</v>
      </c>
      <c r="B8" s="21">
        <v>1</v>
      </c>
      <c r="C8" s="21">
        <v>20</v>
      </c>
      <c r="D8" s="5">
        <v>482.93899999999996</v>
      </c>
      <c r="E8" s="5">
        <f>D8*12.5%</f>
        <v>60.367374999999996</v>
      </c>
      <c r="F8" s="5">
        <f>D8*12%</f>
        <v>57.952679999999994</v>
      </c>
      <c r="G8" s="5">
        <f>D8*0.2%</f>
        <v>0.9658779999999999</v>
      </c>
      <c r="H8" s="5">
        <f>SUM(D8:G8)</f>
        <v>602.22493299999996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31">
        <v>150000</v>
      </c>
      <c r="B9" s="21">
        <v>21</v>
      </c>
      <c r="C9" s="21">
        <v>30</v>
      </c>
      <c r="D9" s="5">
        <v>643.97</v>
      </c>
      <c r="E9" s="5">
        <f t="shared" ref="E9:E34" si="0">D9*12.5%</f>
        <v>80.496250000000003</v>
      </c>
      <c r="F9" s="5">
        <f t="shared" ref="F9:F34" si="1">D9*12%</f>
        <v>77.276399999999995</v>
      </c>
      <c r="G9" s="5">
        <f t="shared" ref="G9:G34" si="2">D9*0.2%</f>
        <v>1.2879400000000001</v>
      </c>
      <c r="H9" s="5">
        <f t="shared" ref="H9:H34" si="3">SUM(D9:G9)</f>
        <v>803.03059000000007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31">
        <v>200000</v>
      </c>
      <c r="B10" s="21">
        <v>31</v>
      </c>
      <c r="C10" s="21">
        <v>40</v>
      </c>
      <c r="D10" s="5">
        <v>765.07</v>
      </c>
      <c r="E10" s="5">
        <f t="shared" si="0"/>
        <v>95.633750000000006</v>
      </c>
      <c r="F10" s="5">
        <f t="shared" si="1"/>
        <v>91.808400000000006</v>
      </c>
      <c r="G10" s="5">
        <f t="shared" si="2"/>
        <v>1.5301400000000001</v>
      </c>
      <c r="H10" s="5">
        <f t="shared" si="3"/>
        <v>954.04228999999998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31">
        <v>250000</v>
      </c>
      <c r="B11" s="21">
        <v>41</v>
      </c>
      <c r="C11" s="21">
        <v>50</v>
      </c>
      <c r="D11" s="5">
        <v>845.36799999999994</v>
      </c>
      <c r="E11" s="5">
        <f t="shared" si="0"/>
        <v>105.67099999999999</v>
      </c>
      <c r="F11" s="5">
        <f t="shared" si="1"/>
        <v>101.44415999999998</v>
      </c>
      <c r="G11" s="5">
        <f t="shared" si="2"/>
        <v>1.690736</v>
      </c>
      <c r="H11" s="5">
        <f t="shared" si="3"/>
        <v>1054.173896</v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25">
      <c r="A12" s="31">
        <v>300000</v>
      </c>
      <c r="B12" s="21">
        <v>51</v>
      </c>
      <c r="C12" s="21">
        <v>60</v>
      </c>
      <c r="D12" s="5">
        <v>966.42</v>
      </c>
      <c r="E12" s="5">
        <f t="shared" si="0"/>
        <v>120.80249999999999</v>
      </c>
      <c r="F12" s="5">
        <f t="shared" si="1"/>
        <v>115.97039999999998</v>
      </c>
      <c r="G12" s="5">
        <f t="shared" si="2"/>
        <v>1.9328399999999999</v>
      </c>
      <c r="H12" s="5">
        <f t="shared" si="3"/>
        <v>1205.1257399999997</v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31">
        <v>350000</v>
      </c>
      <c r="B13" s="21">
        <v>61</v>
      </c>
      <c r="C13" s="21">
        <v>70</v>
      </c>
      <c r="D13" s="5">
        <v>1087.03</v>
      </c>
      <c r="E13" s="5">
        <f t="shared" si="0"/>
        <v>135.87875</v>
      </c>
      <c r="F13" s="5">
        <f t="shared" si="1"/>
        <v>130.4436</v>
      </c>
      <c r="G13" s="5">
        <f t="shared" si="2"/>
        <v>2.1740599999999999</v>
      </c>
      <c r="H13" s="5">
        <f t="shared" si="3"/>
        <v>1355.5264100000002</v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25">
      <c r="A14" s="31">
        <v>400000</v>
      </c>
      <c r="B14" s="21">
        <v>71</v>
      </c>
      <c r="C14" s="21">
        <v>80</v>
      </c>
      <c r="D14" s="5">
        <v>1208.0999999999999</v>
      </c>
      <c r="E14" s="5">
        <f t="shared" si="0"/>
        <v>151.01249999999999</v>
      </c>
      <c r="F14" s="5">
        <f t="shared" si="1"/>
        <v>144.97199999999998</v>
      </c>
      <c r="G14" s="5">
        <f t="shared" si="2"/>
        <v>2.4161999999999999</v>
      </c>
      <c r="H14" s="5">
        <f t="shared" si="3"/>
        <v>1506.5006999999998</v>
      </c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31">
        <v>450000</v>
      </c>
      <c r="B15" s="21">
        <v>81</v>
      </c>
      <c r="C15" s="21">
        <v>90</v>
      </c>
      <c r="D15" s="5">
        <v>1288.32</v>
      </c>
      <c r="E15" s="5">
        <f t="shared" si="0"/>
        <v>161.04</v>
      </c>
      <c r="F15" s="5">
        <f t="shared" si="1"/>
        <v>154.5984</v>
      </c>
      <c r="G15" s="5">
        <f t="shared" si="2"/>
        <v>2.5766399999999998</v>
      </c>
      <c r="H15" s="5">
        <f t="shared" si="3"/>
        <v>1606.53504</v>
      </c>
      <c r="I15" s="17"/>
      <c r="J15" s="17"/>
      <c r="K15" s="17"/>
      <c r="L15" s="17"/>
      <c r="M15" s="17"/>
      <c r="N15" s="17"/>
      <c r="O15" s="17"/>
      <c r="P15" s="17"/>
      <c r="Q15" s="17"/>
    </row>
    <row r="16" spans="1:17" x14ac:dyDescent="0.25">
      <c r="A16" s="31">
        <v>500000</v>
      </c>
      <c r="B16" s="21">
        <v>91</v>
      </c>
      <c r="C16" s="21">
        <v>100</v>
      </c>
      <c r="D16" s="5">
        <v>1369.1599999999999</v>
      </c>
      <c r="E16" s="5">
        <f t="shared" si="0"/>
        <v>171.14499999999998</v>
      </c>
      <c r="F16" s="5">
        <f t="shared" si="1"/>
        <v>164.29919999999998</v>
      </c>
      <c r="G16" s="5">
        <f t="shared" si="2"/>
        <v>2.7383199999999999</v>
      </c>
      <c r="H16" s="5">
        <f t="shared" si="3"/>
        <v>1707.3425199999997</v>
      </c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25">
      <c r="A17" s="31">
        <v>550000</v>
      </c>
      <c r="B17" s="21">
        <v>101</v>
      </c>
      <c r="C17" s="21">
        <v>110</v>
      </c>
      <c r="D17" s="5">
        <v>1449.74</v>
      </c>
      <c r="E17" s="5">
        <f t="shared" si="0"/>
        <v>181.2175</v>
      </c>
      <c r="F17" s="5">
        <f t="shared" si="1"/>
        <v>173.96879999999999</v>
      </c>
      <c r="G17" s="5">
        <f t="shared" si="2"/>
        <v>2.8994800000000001</v>
      </c>
      <c r="H17" s="5">
        <f t="shared" si="3"/>
        <v>1807.8257800000001</v>
      </c>
      <c r="I17" s="17"/>
      <c r="J17" s="17"/>
      <c r="K17" s="17"/>
      <c r="L17" s="17"/>
      <c r="M17" s="17"/>
      <c r="N17" s="17"/>
      <c r="O17" s="17"/>
      <c r="P17" s="17"/>
      <c r="Q17" s="17"/>
    </row>
    <row r="18" spans="1:17" x14ac:dyDescent="0.25">
      <c r="A18" s="31">
        <v>600000</v>
      </c>
      <c r="B18" s="21">
        <v>111</v>
      </c>
      <c r="C18" s="21">
        <v>120</v>
      </c>
      <c r="D18" s="5">
        <v>1457.9399999999998</v>
      </c>
      <c r="E18" s="5">
        <f t="shared" si="0"/>
        <v>182.24249999999998</v>
      </c>
      <c r="F18" s="5">
        <f t="shared" si="1"/>
        <v>174.95279999999997</v>
      </c>
      <c r="G18" s="5">
        <f t="shared" si="2"/>
        <v>2.9158799999999996</v>
      </c>
      <c r="H18" s="5">
        <f t="shared" si="3"/>
        <v>1818.0511799999999</v>
      </c>
      <c r="I18" s="17"/>
      <c r="J18" s="17"/>
      <c r="K18" s="17"/>
      <c r="L18" s="17"/>
      <c r="M18" s="17"/>
      <c r="N18" s="17"/>
      <c r="O18" s="17"/>
      <c r="P18" s="17"/>
      <c r="Q18" s="17"/>
    </row>
    <row r="19" spans="1:17" x14ac:dyDescent="0.25">
      <c r="A19" s="31">
        <v>650000</v>
      </c>
      <c r="B19" s="21">
        <v>121</v>
      </c>
      <c r="C19" s="21">
        <v>130</v>
      </c>
      <c r="D19" s="5">
        <v>1610.829</v>
      </c>
      <c r="E19" s="5">
        <f t="shared" si="0"/>
        <v>201.35362499999999</v>
      </c>
      <c r="F19" s="5">
        <f t="shared" si="1"/>
        <v>193.29947999999999</v>
      </c>
      <c r="G19" s="5">
        <f t="shared" si="2"/>
        <v>3.2216580000000001</v>
      </c>
      <c r="H19" s="5">
        <f t="shared" si="3"/>
        <v>2008.7037629999998</v>
      </c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31">
        <v>700000</v>
      </c>
      <c r="B20" s="21">
        <v>131</v>
      </c>
      <c r="C20" s="21">
        <v>140</v>
      </c>
      <c r="D20" s="5">
        <v>1691.1000000000001</v>
      </c>
      <c r="E20" s="5">
        <f t="shared" si="0"/>
        <v>211.38750000000002</v>
      </c>
      <c r="F20" s="5">
        <f t="shared" si="1"/>
        <v>202.93200000000002</v>
      </c>
      <c r="G20" s="5">
        <f t="shared" si="2"/>
        <v>3.3822000000000005</v>
      </c>
      <c r="H20" s="5">
        <f t="shared" si="3"/>
        <v>2108.8017</v>
      </c>
      <c r="I20" s="17"/>
      <c r="J20" s="17"/>
      <c r="K20" s="17"/>
      <c r="L20" s="17"/>
      <c r="M20" s="17"/>
      <c r="N20" s="17"/>
      <c r="O20" s="17"/>
      <c r="P20" s="17"/>
      <c r="Q20" s="17"/>
    </row>
    <row r="21" spans="1:17" x14ac:dyDescent="0.25">
      <c r="A21" s="31">
        <v>750000</v>
      </c>
      <c r="B21" s="21">
        <v>141</v>
      </c>
      <c r="C21" s="21">
        <v>150</v>
      </c>
      <c r="D21" s="5">
        <v>1771.82</v>
      </c>
      <c r="E21" s="5">
        <f t="shared" si="0"/>
        <v>221.47749999999999</v>
      </c>
      <c r="F21" s="5">
        <f t="shared" si="1"/>
        <v>212.61839999999998</v>
      </c>
      <c r="G21" s="5">
        <f t="shared" si="2"/>
        <v>3.5436399999999999</v>
      </c>
      <c r="H21" s="5">
        <f t="shared" si="3"/>
        <v>2209.4595399999998</v>
      </c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31">
        <v>800000</v>
      </c>
      <c r="B22" s="21">
        <v>151</v>
      </c>
      <c r="C22" s="21">
        <v>160</v>
      </c>
      <c r="D22" s="5">
        <v>1852.538</v>
      </c>
      <c r="E22" s="5">
        <f t="shared" si="0"/>
        <v>231.56725</v>
      </c>
      <c r="F22" s="5">
        <f t="shared" si="1"/>
        <v>222.30455999999998</v>
      </c>
      <c r="G22" s="5">
        <f t="shared" si="2"/>
        <v>3.705076</v>
      </c>
      <c r="H22" s="5">
        <f t="shared" si="3"/>
        <v>2310.1148860000003</v>
      </c>
      <c r="I22" s="17"/>
      <c r="J22" s="17"/>
      <c r="K22" s="17"/>
      <c r="L22" s="17"/>
      <c r="M22" s="17"/>
      <c r="N22" s="17"/>
      <c r="O22" s="17"/>
      <c r="P22" s="17"/>
      <c r="Q22" s="17"/>
    </row>
    <row r="23" spans="1:17" x14ac:dyDescent="0.25">
      <c r="A23" s="31">
        <v>850000</v>
      </c>
      <c r="B23" s="21">
        <v>161</v>
      </c>
      <c r="C23" s="21">
        <v>170</v>
      </c>
      <c r="D23" s="5">
        <v>1932.8100000000002</v>
      </c>
      <c r="E23" s="5">
        <f t="shared" si="0"/>
        <v>241.60125000000002</v>
      </c>
      <c r="F23" s="5">
        <f t="shared" si="1"/>
        <v>231.93720000000002</v>
      </c>
      <c r="G23" s="5">
        <f t="shared" si="2"/>
        <v>3.8656200000000003</v>
      </c>
      <c r="H23" s="5">
        <f t="shared" si="3"/>
        <v>2410.21407</v>
      </c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31">
        <v>900000</v>
      </c>
      <c r="B24" s="21">
        <v>171</v>
      </c>
      <c r="C24" s="21">
        <v>180</v>
      </c>
      <c r="D24" s="5">
        <v>2014.09</v>
      </c>
      <c r="E24" s="5">
        <f t="shared" si="0"/>
        <v>251.76124999999999</v>
      </c>
      <c r="F24" s="5">
        <f t="shared" si="1"/>
        <v>241.69079999999997</v>
      </c>
      <c r="G24" s="5">
        <f t="shared" si="2"/>
        <v>4.0281799999999999</v>
      </c>
      <c r="H24" s="5">
        <f t="shared" si="3"/>
        <v>2511.5702299999994</v>
      </c>
      <c r="I24" s="17"/>
      <c r="J24" s="17"/>
      <c r="K24" s="17"/>
      <c r="L24" s="17"/>
      <c r="M24" s="17"/>
      <c r="N24" s="17"/>
      <c r="O24" s="17"/>
      <c r="P24" s="17"/>
      <c r="Q24" s="17"/>
    </row>
    <row r="25" spans="1:17" x14ac:dyDescent="0.25">
      <c r="A25" s="31">
        <v>950000</v>
      </c>
      <c r="B25" s="21">
        <v>181</v>
      </c>
      <c r="C25" s="21">
        <v>190</v>
      </c>
      <c r="D25" s="5">
        <v>2093.8000000000002</v>
      </c>
      <c r="E25" s="5">
        <f t="shared" si="0"/>
        <v>261.72500000000002</v>
      </c>
      <c r="F25" s="5">
        <f t="shared" si="1"/>
        <v>251.256</v>
      </c>
      <c r="G25" s="5">
        <f t="shared" si="2"/>
        <v>4.1876000000000007</v>
      </c>
      <c r="H25" s="5">
        <f t="shared" si="3"/>
        <v>2610.9686000000002</v>
      </c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31">
        <v>1000000</v>
      </c>
      <c r="B26" s="21">
        <v>191</v>
      </c>
      <c r="C26" s="21">
        <v>200</v>
      </c>
      <c r="D26" s="5">
        <v>2174.52</v>
      </c>
      <c r="E26" s="5">
        <f t="shared" si="0"/>
        <v>271.815</v>
      </c>
      <c r="F26" s="5">
        <f t="shared" si="1"/>
        <v>260.94239999999996</v>
      </c>
      <c r="G26" s="5">
        <f t="shared" si="2"/>
        <v>4.3490400000000005</v>
      </c>
      <c r="H26" s="5">
        <f t="shared" si="3"/>
        <v>2711.62644</v>
      </c>
      <c r="I26" s="17"/>
      <c r="J26" s="17"/>
      <c r="K26" s="17"/>
      <c r="L26" s="17"/>
      <c r="M26" s="17"/>
      <c r="N26" s="17"/>
      <c r="O26" s="17"/>
      <c r="P26" s="17"/>
      <c r="Q26" s="17"/>
    </row>
    <row r="27" spans="1:17" x14ac:dyDescent="0.25">
      <c r="A27" s="31">
        <v>1500000</v>
      </c>
      <c r="B27" s="21">
        <v>201</v>
      </c>
      <c r="C27" s="21">
        <v>300</v>
      </c>
      <c r="D27" s="5">
        <v>2818.9300000000003</v>
      </c>
      <c r="E27" s="5">
        <f t="shared" si="0"/>
        <v>352.36625000000004</v>
      </c>
      <c r="F27" s="5">
        <f t="shared" si="1"/>
        <v>338.27160000000003</v>
      </c>
      <c r="G27" s="5">
        <f t="shared" si="2"/>
        <v>5.6378600000000008</v>
      </c>
      <c r="H27" s="5">
        <f t="shared" si="3"/>
        <v>3515.2057100000002</v>
      </c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31">
        <v>2000000</v>
      </c>
      <c r="B28" s="21">
        <v>301</v>
      </c>
      <c r="C28" s="21">
        <v>400</v>
      </c>
      <c r="D28" s="5">
        <v>3624.36</v>
      </c>
      <c r="E28" s="5">
        <f t="shared" si="0"/>
        <v>453.04500000000002</v>
      </c>
      <c r="F28" s="5">
        <f t="shared" si="1"/>
        <v>434.92320000000001</v>
      </c>
      <c r="G28" s="5">
        <f t="shared" si="2"/>
        <v>7.2487200000000005</v>
      </c>
      <c r="H28" s="5">
        <f t="shared" si="3"/>
        <v>4519.5769199999995</v>
      </c>
      <c r="I28" s="17"/>
      <c r="J28" s="17"/>
      <c r="K28" s="17"/>
      <c r="L28" s="17"/>
      <c r="M28" s="17"/>
      <c r="N28" s="17"/>
      <c r="O28" s="17"/>
      <c r="P28" s="17"/>
      <c r="Q28" s="17"/>
    </row>
    <row r="29" spans="1:17" x14ac:dyDescent="0.25">
      <c r="A29" s="31">
        <v>2500000</v>
      </c>
      <c r="B29" s="21">
        <v>401</v>
      </c>
      <c r="C29" s="21">
        <v>500</v>
      </c>
      <c r="D29" s="5">
        <v>4188.05</v>
      </c>
      <c r="E29" s="5">
        <f t="shared" si="0"/>
        <v>523.50625000000002</v>
      </c>
      <c r="F29" s="5">
        <f t="shared" si="1"/>
        <v>502.56600000000003</v>
      </c>
      <c r="G29" s="5">
        <f t="shared" si="2"/>
        <v>8.376100000000001</v>
      </c>
      <c r="H29" s="5">
        <f t="shared" si="3"/>
        <v>5222.4983500000008</v>
      </c>
      <c r="I29" s="17"/>
      <c r="J29" s="17"/>
      <c r="K29" s="17"/>
      <c r="L29" s="17"/>
      <c r="M29" s="17"/>
      <c r="N29" s="17"/>
      <c r="O29" s="17"/>
      <c r="P29" s="17"/>
      <c r="Q29" s="17"/>
    </row>
    <row r="30" spans="1:17" x14ac:dyDescent="0.25">
      <c r="A30" s="31">
        <v>3000000</v>
      </c>
      <c r="B30" s="21">
        <v>501</v>
      </c>
      <c r="C30" s="21">
        <v>600</v>
      </c>
      <c r="D30" s="5">
        <v>4510.49</v>
      </c>
      <c r="E30" s="5">
        <f t="shared" si="0"/>
        <v>563.81124999999997</v>
      </c>
      <c r="F30" s="5">
        <f t="shared" si="1"/>
        <v>541.25879999999995</v>
      </c>
      <c r="G30" s="5">
        <f t="shared" si="2"/>
        <v>9.0209799999999998</v>
      </c>
      <c r="H30" s="5">
        <f t="shared" si="3"/>
        <v>5624.5810299999994</v>
      </c>
      <c r="I30" s="17"/>
      <c r="J30" s="17"/>
      <c r="K30" s="17"/>
      <c r="L30" s="17"/>
      <c r="M30" s="17"/>
      <c r="N30" s="17"/>
      <c r="O30" s="17"/>
      <c r="P30" s="17"/>
      <c r="Q30" s="17"/>
    </row>
    <row r="31" spans="1:17" x14ac:dyDescent="0.25">
      <c r="A31" s="31">
        <v>3500000</v>
      </c>
      <c r="B31" s="21">
        <v>601</v>
      </c>
      <c r="C31" s="21">
        <v>700</v>
      </c>
      <c r="D31" s="5">
        <v>4752.2</v>
      </c>
      <c r="E31" s="5">
        <f t="shared" si="0"/>
        <v>594.02499999999998</v>
      </c>
      <c r="F31" s="5">
        <f t="shared" si="1"/>
        <v>570.26400000000001</v>
      </c>
      <c r="G31" s="5">
        <f t="shared" si="2"/>
        <v>9.5044000000000004</v>
      </c>
      <c r="H31" s="5">
        <f t="shared" si="3"/>
        <v>5925.9933999999994</v>
      </c>
      <c r="I31" s="17"/>
      <c r="J31" s="17"/>
      <c r="K31" s="17"/>
      <c r="L31" s="17"/>
      <c r="M31" s="17"/>
      <c r="N31" s="17"/>
      <c r="O31" s="17"/>
      <c r="P31" s="17"/>
      <c r="Q31" s="17"/>
    </row>
    <row r="32" spans="1:17" x14ac:dyDescent="0.25">
      <c r="A32" s="31">
        <v>4000000</v>
      </c>
      <c r="B32" s="21">
        <v>701</v>
      </c>
      <c r="C32" s="21">
        <v>800</v>
      </c>
      <c r="D32" s="5">
        <v>4993.4680000000008</v>
      </c>
      <c r="E32" s="5">
        <f t="shared" si="0"/>
        <v>624.18350000000009</v>
      </c>
      <c r="F32" s="5">
        <f t="shared" si="1"/>
        <v>599.21616000000006</v>
      </c>
      <c r="G32" s="5">
        <f t="shared" si="2"/>
        <v>9.9869360000000018</v>
      </c>
      <c r="H32" s="5">
        <f t="shared" si="3"/>
        <v>6226.854596000001</v>
      </c>
      <c r="I32" s="17"/>
      <c r="J32" s="17"/>
      <c r="K32" s="17"/>
      <c r="L32" s="17"/>
      <c r="M32" s="17"/>
      <c r="N32" s="17"/>
      <c r="O32" s="17"/>
      <c r="P32" s="17"/>
      <c r="Q32" s="17"/>
    </row>
    <row r="33" spans="1:17" x14ac:dyDescent="0.25">
      <c r="A33" s="31">
        <v>4500000</v>
      </c>
      <c r="B33" s="21">
        <v>801</v>
      </c>
      <c r="C33" s="21">
        <v>900</v>
      </c>
      <c r="D33" s="5">
        <v>5235.17</v>
      </c>
      <c r="E33" s="5">
        <f t="shared" si="0"/>
        <v>654.39625000000001</v>
      </c>
      <c r="F33" s="5">
        <f t="shared" si="1"/>
        <v>628.22040000000004</v>
      </c>
      <c r="G33" s="5">
        <f t="shared" si="2"/>
        <v>10.47034</v>
      </c>
      <c r="H33" s="5">
        <f t="shared" si="3"/>
        <v>6528.2569899999999</v>
      </c>
      <c r="I33" s="17"/>
      <c r="J33" s="17"/>
      <c r="K33" s="17"/>
      <c r="L33" s="17"/>
      <c r="M33" s="17"/>
      <c r="N33" s="17"/>
      <c r="O33" s="17"/>
      <c r="P33" s="17"/>
      <c r="Q33" s="17"/>
    </row>
    <row r="34" spans="1:17" x14ac:dyDescent="0.25">
      <c r="A34" s="31">
        <v>5000000</v>
      </c>
      <c r="B34" s="21">
        <v>901</v>
      </c>
      <c r="C34" s="21">
        <v>1000</v>
      </c>
      <c r="D34" s="5">
        <v>5420.49</v>
      </c>
      <c r="E34" s="5">
        <f t="shared" si="0"/>
        <v>677.56124999999997</v>
      </c>
      <c r="F34" s="5">
        <f t="shared" si="1"/>
        <v>650.4588</v>
      </c>
      <c r="G34" s="5">
        <f t="shared" si="2"/>
        <v>10.84098</v>
      </c>
      <c r="H34" s="5">
        <f t="shared" si="3"/>
        <v>6759.3510299999998</v>
      </c>
      <c r="I34" s="17"/>
      <c r="J34" s="17"/>
      <c r="K34" s="17"/>
      <c r="L34" s="17"/>
      <c r="M34" s="17"/>
      <c r="N34" s="17"/>
      <c r="O34" s="17"/>
      <c r="P34" s="17"/>
      <c r="Q34" s="17"/>
    </row>
    <row r="36" spans="1:17" x14ac:dyDescent="0.25">
      <c r="E36" s="13"/>
    </row>
  </sheetData>
  <mergeCells count="3">
    <mergeCell ref="A5:A7"/>
    <mergeCell ref="B5:C6"/>
    <mergeCell ref="D5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19AA-B847-4666-B297-0A80BFA4F284}">
  <sheetPr>
    <tabColor theme="8"/>
  </sheetPr>
  <dimension ref="A1:Q45"/>
  <sheetViews>
    <sheetView zoomScaleNormal="100" workbookViewId="0">
      <pane ySplit="7" topLeftCell="A8" activePane="bottomLeft" state="frozen"/>
      <selection pane="bottomLeft" activeCell="H2" sqref="H2"/>
    </sheetView>
  </sheetViews>
  <sheetFormatPr defaultRowHeight="15" x14ac:dyDescent="0.25"/>
  <cols>
    <col min="1" max="1" width="21" customWidth="1"/>
    <col min="2" max="2" width="14.140625" customWidth="1"/>
    <col min="3" max="3" width="12.7109375" customWidth="1"/>
    <col min="4" max="4" width="18" customWidth="1"/>
    <col min="5" max="5" width="18.140625" customWidth="1"/>
    <col min="6" max="6" width="16.42578125" customWidth="1"/>
    <col min="7" max="7" width="15.42578125" customWidth="1"/>
    <col min="8" max="8" width="18.42578125" customWidth="1"/>
    <col min="9" max="9" width="18.28515625" bestFit="1" customWidth="1"/>
    <col min="10" max="10" width="17.85546875" bestFit="1" customWidth="1"/>
    <col min="11" max="11" width="18.28515625" bestFit="1" customWidth="1"/>
    <col min="12" max="12" width="19.140625" bestFit="1" customWidth="1"/>
    <col min="13" max="14" width="15" bestFit="1" customWidth="1"/>
    <col min="15" max="15" width="12.140625" bestFit="1" customWidth="1"/>
    <col min="16" max="16" width="14.140625" bestFit="1" customWidth="1"/>
    <col min="17" max="17" width="14.42578125" bestFit="1" customWidth="1"/>
  </cols>
  <sheetData>
    <row r="1" spans="1:17" s="3" customFormat="1" x14ac:dyDescent="0.25">
      <c r="A1" s="1" t="s">
        <v>70</v>
      </c>
      <c r="B1" s="1"/>
      <c r="D1" s="4"/>
      <c r="E1" s="4"/>
      <c r="F1" s="4"/>
      <c r="G1" s="4"/>
      <c r="H1" s="4"/>
    </row>
    <row r="2" spans="1:17" s="3" customFormat="1" ht="14.25" x14ac:dyDescent="0.2">
      <c r="A2" s="2" t="s">
        <v>71</v>
      </c>
      <c r="B2" s="2"/>
      <c r="D2" s="4"/>
      <c r="E2" s="4"/>
      <c r="F2" s="4"/>
      <c r="G2" s="4"/>
      <c r="H2" s="4"/>
    </row>
    <row r="3" spans="1:17" s="3" customFormat="1" ht="14.25" x14ac:dyDescent="0.2">
      <c r="A3" s="2" t="s">
        <v>98</v>
      </c>
      <c r="B3" s="2"/>
      <c r="D3" s="4"/>
      <c r="E3" s="4"/>
      <c r="F3" s="4"/>
      <c r="G3" s="4"/>
      <c r="H3" s="4"/>
    </row>
    <row r="4" spans="1:17" x14ac:dyDescent="0.25">
      <c r="A4" s="6"/>
      <c r="B4" s="6"/>
      <c r="C4" s="3"/>
      <c r="D4" s="4"/>
      <c r="E4" s="4"/>
      <c r="F4" s="4"/>
      <c r="G4" s="4"/>
      <c r="H4" s="4"/>
    </row>
    <row r="5" spans="1:17" x14ac:dyDescent="0.25">
      <c r="A5" s="45" t="s">
        <v>0</v>
      </c>
      <c r="B5" s="35" t="s">
        <v>88</v>
      </c>
      <c r="C5" s="36"/>
      <c r="D5" s="39" t="s">
        <v>1</v>
      </c>
      <c r="E5" s="40"/>
      <c r="F5" s="40"/>
      <c r="G5" s="40"/>
      <c r="H5" s="41"/>
    </row>
    <row r="6" spans="1:17" ht="9.75" customHeight="1" x14ac:dyDescent="0.25">
      <c r="A6" s="45"/>
      <c r="B6" s="37"/>
      <c r="C6" s="38"/>
      <c r="D6" s="42"/>
      <c r="E6" s="43"/>
      <c r="F6" s="43"/>
      <c r="G6" s="43"/>
      <c r="H6" s="44"/>
    </row>
    <row r="7" spans="1:17" ht="20.25" customHeight="1" x14ac:dyDescent="0.25">
      <c r="A7" s="45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5" t="s">
        <v>73</v>
      </c>
    </row>
    <row r="8" spans="1:17" x14ac:dyDescent="0.25">
      <c r="A8" s="31">
        <v>100000</v>
      </c>
      <c r="B8" s="21">
        <v>1</v>
      </c>
      <c r="C8" s="21">
        <v>20</v>
      </c>
      <c r="D8" s="5">
        <v>1042.58</v>
      </c>
      <c r="E8" s="5">
        <f>D8*12.5%</f>
        <v>130.32249999999999</v>
      </c>
      <c r="F8" s="5">
        <f>D8*12%</f>
        <v>125.10959999999999</v>
      </c>
      <c r="G8" s="5">
        <f>D8*0.2%</f>
        <v>2.0851599999999997</v>
      </c>
      <c r="H8" s="5">
        <f>SUM(D8:G8)</f>
        <v>1300.09726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31">
        <v>150000</v>
      </c>
      <c r="B9" s="21">
        <v>21</v>
      </c>
      <c r="C9" s="21">
        <v>30</v>
      </c>
      <c r="D9" s="5">
        <v>1122.6980000000001</v>
      </c>
      <c r="E9" s="5">
        <f t="shared" ref="E9:E36" si="0">D9*12.5%</f>
        <v>140.33725000000001</v>
      </c>
      <c r="F9" s="5">
        <f t="shared" ref="F9:F36" si="1">D9*12%</f>
        <v>134.72376</v>
      </c>
      <c r="G9" s="5">
        <f t="shared" ref="G9:G36" si="2">D9*0.2%</f>
        <v>2.2453960000000004</v>
      </c>
      <c r="H9" s="5">
        <f t="shared" ref="H9:H36" si="3">SUM(D9:G9)</f>
        <v>1400.0044060000002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31">
        <v>200000</v>
      </c>
      <c r="B10" s="21">
        <v>31</v>
      </c>
      <c r="C10" s="21">
        <v>40</v>
      </c>
      <c r="D10" s="5">
        <v>1443.4679999999998</v>
      </c>
      <c r="E10" s="5">
        <f t="shared" si="0"/>
        <v>180.43349999999998</v>
      </c>
      <c r="F10" s="5">
        <f t="shared" si="1"/>
        <v>173.21615999999997</v>
      </c>
      <c r="G10" s="5">
        <f t="shared" si="2"/>
        <v>2.8869359999999999</v>
      </c>
      <c r="H10" s="5">
        <f t="shared" si="3"/>
        <v>1800.004596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31">
        <v>250000</v>
      </c>
      <c r="B11" s="21">
        <v>41</v>
      </c>
      <c r="C11" s="21">
        <v>50</v>
      </c>
      <c r="D11" s="5">
        <v>1844.42</v>
      </c>
      <c r="E11" s="5">
        <f t="shared" si="0"/>
        <v>230.55250000000001</v>
      </c>
      <c r="F11" s="5">
        <f t="shared" si="1"/>
        <v>221.3304</v>
      </c>
      <c r="G11" s="5">
        <f t="shared" si="2"/>
        <v>3.6888400000000003</v>
      </c>
      <c r="H11" s="5">
        <f t="shared" si="3"/>
        <v>2299.9917399999995</v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25">
      <c r="A12" s="31">
        <v>300000</v>
      </c>
      <c r="B12" s="21">
        <v>51</v>
      </c>
      <c r="C12" s="21">
        <v>60</v>
      </c>
      <c r="D12" s="5">
        <v>2085</v>
      </c>
      <c r="E12" s="5">
        <f t="shared" si="0"/>
        <v>260.625</v>
      </c>
      <c r="F12" s="5">
        <f t="shared" si="1"/>
        <v>250.2</v>
      </c>
      <c r="G12" s="5">
        <f t="shared" si="2"/>
        <v>4.17</v>
      </c>
      <c r="H12" s="5">
        <f t="shared" si="3"/>
        <v>2599.9949999999999</v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31">
        <v>350000</v>
      </c>
      <c r="B13" s="21">
        <v>61</v>
      </c>
      <c r="C13" s="21">
        <v>70</v>
      </c>
      <c r="D13" s="5">
        <v>2405.77</v>
      </c>
      <c r="E13" s="5">
        <f t="shared" si="0"/>
        <v>300.72125</v>
      </c>
      <c r="F13" s="5">
        <f t="shared" si="1"/>
        <v>288.69239999999996</v>
      </c>
      <c r="G13" s="5">
        <f t="shared" si="2"/>
        <v>4.8115399999999999</v>
      </c>
      <c r="H13" s="5">
        <f t="shared" si="3"/>
        <v>2999.9951900000001</v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25">
      <c r="A14" s="31">
        <v>400000</v>
      </c>
      <c r="B14" s="21">
        <v>71</v>
      </c>
      <c r="C14" s="21">
        <v>80</v>
      </c>
      <c r="D14" s="5">
        <v>2726.54</v>
      </c>
      <c r="E14" s="5">
        <f t="shared" si="0"/>
        <v>340.8175</v>
      </c>
      <c r="F14" s="5">
        <f t="shared" si="1"/>
        <v>327.1848</v>
      </c>
      <c r="G14" s="5">
        <f t="shared" si="2"/>
        <v>5.4530799999999999</v>
      </c>
      <c r="H14" s="5">
        <f t="shared" si="3"/>
        <v>3399.9953800000003</v>
      </c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31">
        <v>450000</v>
      </c>
      <c r="B15" s="21">
        <v>81</v>
      </c>
      <c r="C15" s="21">
        <v>90</v>
      </c>
      <c r="D15" s="5">
        <v>3127.51</v>
      </c>
      <c r="E15" s="5">
        <f t="shared" si="0"/>
        <v>390.93875000000003</v>
      </c>
      <c r="F15" s="5">
        <f t="shared" si="1"/>
        <v>375.30119999999999</v>
      </c>
      <c r="G15" s="5">
        <f t="shared" si="2"/>
        <v>6.2550200000000009</v>
      </c>
      <c r="H15" s="5">
        <f t="shared" si="3"/>
        <v>3900.0049700000004</v>
      </c>
      <c r="I15" s="17"/>
      <c r="J15" s="17"/>
      <c r="K15" s="17"/>
      <c r="L15" s="17"/>
      <c r="M15" s="17"/>
      <c r="N15" s="17"/>
      <c r="O15" s="17"/>
      <c r="P15" s="17"/>
      <c r="Q15" s="17"/>
    </row>
    <row r="16" spans="1:17" x14ac:dyDescent="0.25">
      <c r="A16" s="31">
        <v>500000</v>
      </c>
      <c r="B16" s="21">
        <v>91</v>
      </c>
      <c r="C16" s="21">
        <v>100</v>
      </c>
      <c r="D16" s="5">
        <v>3448.2779999999998</v>
      </c>
      <c r="E16" s="5">
        <f t="shared" si="0"/>
        <v>431.03474999999997</v>
      </c>
      <c r="F16" s="5">
        <f t="shared" si="1"/>
        <v>413.79335999999995</v>
      </c>
      <c r="G16" s="5">
        <f t="shared" si="2"/>
        <v>6.8965559999999995</v>
      </c>
      <c r="H16" s="5">
        <f t="shared" si="3"/>
        <v>4300.0026659999994</v>
      </c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25">
      <c r="A17" s="31">
        <v>550000</v>
      </c>
      <c r="B17" s="21">
        <v>101</v>
      </c>
      <c r="C17" s="21">
        <v>110</v>
      </c>
      <c r="D17" s="5">
        <v>3528.4700000000003</v>
      </c>
      <c r="E17" s="5">
        <f t="shared" si="0"/>
        <v>441.05875000000003</v>
      </c>
      <c r="F17" s="5">
        <f t="shared" si="1"/>
        <v>423.41640000000001</v>
      </c>
      <c r="G17" s="5">
        <f t="shared" si="2"/>
        <v>7.0569400000000009</v>
      </c>
      <c r="H17" s="5">
        <f t="shared" si="3"/>
        <v>4400.0020900000009</v>
      </c>
      <c r="I17" s="17"/>
      <c r="J17" s="17"/>
      <c r="K17" s="17"/>
      <c r="L17" s="17"/>
      <c r="M17" s="17"/>
      <c r="N17" s="17"/>
      <c r="O17" s="17"/>
      <c r="P17" s="17"/>
      <c r="Q17" s="17"/>
    </row>
    <row r="18" spans="1:17" x14ac:dyDescent="0.25">
      <c r="A18" s="31">
        <v>600000</v>
      </c>
      <c r="B18" s="21">
        <v>111</v>
      </c>
      <c r="C18" s="21">
        <v>120</v>
      </c>
      <c r="D18" s="5">
        <v>3849.24</v>
      </c>
      <c r="E18" s="5">
        <f t="shared" si="0"/>
        <v>481.15499999999997</v>
      </c>
      <c r="F18" s="5">
        <f t="shared" si="1"/>
        <v>461.90879999999993</v>
      </c>
      <c r="G18" s="5">
        <f t="shared" si="2"/>
        <v>7.69848</v>
      </c>
      <c r="H18" s="5">
        <f t="shared" si="3"/>
        <v>4800.0022799999997</v>
      </c>
      <c r="I18" s="17"/>
      <c r="J18" s="17"/>
      <c r="K18" s="17"/>
      <c r="L18" s="17"/>
      <c r="M18" s="17"/>
      <c r="N18" s="17"/>
      <c r="O18" s="17"/>
      <c r="P18" s="17"/>
      <c r="Q18" s="17"/>
    </row>
    <row r="19" spans="1:17" x14ac:dyDescent="0.25">
      <c r="A19" s="31">
        <v>650000</v>
      </c>
      <c r="B19" s="21">
        <v>121</v>
      </c>
      <c r="C19" s="21">
        <v>130</v>
      </c>
      <c r="D19" s="5">
        <v>4170.01</v>
      </c>
      <c r="E19" s="5">
        <f t="shared" si="0"/>
        <v>521.25125000000003</v>
      </c>
      <c r="F19" s="5">
        <f t="shared" si="1"/>
        <v>500.40120000000002</v>
      </c>
      <c r="G19" s="5">
        <f t="shared" si="2"/>
        <v>8.3400200000000009</v>
      </c>
      <c r="H19" s="5">
        <f t="shared" si="3"/>
        <v>5200.0024700000004</v>
      </c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31">
        <v>700000</v>
      </c>
      <c r="B20" s="21">
        <v>131</v>
      </c>
      <c r="C20" s="21">
        <v>140</v>
      </c>
      <c r="D20" s="5">
        <v>4490.78</v>
      </c>
      <c r="E20" s="5">
        <f t="shared" si="0"/>
        <v>561.34749999999997</v>
      </c>
      <c r="F20" s="5">
        <f t="shared" si="1"/>
        <v>538.89359999999999</v>
      </c>
      <c r="G20" s="5">
        <f t="shared" si="2"/>
        <v>8.98156</v>
      </c>
      <c r="H20" s="5">
        <f t="shared" si="3"/>
        <v>5600.0026600000001</v>
      </c>
      <c r="I20" s="17"/>
      <c r="J20" s="17"/>
      <c r="K20" s="17"/>
      <c r="L20" s="17"/>
      <c r="M20" s="17"/>
      <c r="N20" s="17"/>
      <c r="O20" s="17"/>
      <c r="P20" s="17"/>
      <c r="Q20" s="17"/>
    </row>
    <row r="21" spans="1:17" x14ac:dyDescent="0.25">
      <c r="A21" s="31">
        <v>750000</v>
      </c>
      <c r="B21" s="21">
        <v>141</v>
      </c>
      <c r="C21" s="21">
        <v>150</v>
      </c>
      <c r="D21" s="5">
        <v>4811.55</v>
      </c>
      <c r="E21" s="5">
        <f t="shared" si="0"/>
        <v>601.44375000000002</v>
      </c>
      <c r="F21" s="5">
        <f t="shared" si="1"/>
        <v>577.38599999999997</v>
      </c>
      <c r="G21" s="5">
        <f t="shared" si="2"/>
        <v>9.6231000000000009</v>
      </c>
      <c r="H21" s="5">
        <f t="shared" si="3"/>
        <v>6000.0028499999999</v>
      </c>
      <c r="I21" s="17"/>
      <c r="J21" s="17"/>
      <c r="K21" s="17"/>
      <c r="L21" s="17"/>
      <c r="M21" s="17"/>
      <c r="N21" s="17"/>
      <c r="O21" s="17"/>
      <c r="P21" s="17"/>
      <c r="Q21" s="17"/>
    </row>
    <row r="22" spans="1:17" x14ac:dyDescent="0.25">
      <c r="A22" s="31">
        <v>800000</v>
      </c>
      <c r="B22" s="21">
        <v>151</v>
      </c>
      <c r="C22" s="21">
        <v>160</v>
      </c>
      <c r="D22" s="5">
        <v>4891.74</v>
      </c>
      <c r="E22" s="5">
        <f t="shared" si="0"/>
        <v>611.46749999999997</v>
      </c>
      <c r="F22" s="5">
        <f t="shared" si="1"/>
        <v>587.00879999999995</v>
      </c>
      <c r="G22" s="5">
        <f t="shared" si="2"/>
        <v>9.7834799999999991</v>
      </c>
      <c r="H22" s="5">
        <f t="shared" si="3"/>
        <v>6099.9997799999992</v>
      </c>
      <c r="I22" s="17"/>
      <c r="J22" s="17"/>
      <c r="K22" s="17"/>
      <c r="L22" s="17"/>
      <c r="M22" s="17"/>
      <c r="N22" s="17"/>
      <c r="O22" s="17"/>
      <c r="P22" s="17"/>
      <c r="Q22" s="17"/>
    </row>
    <row r="23" spans="1:17" x14ac:dyDescent="0.25">
      <c r="A23" s="31">
        <v>850000</v>
      </c>
      <c r="B23" s="21">
        <v>161</v>
      </c>
      <c r="C23" s="21">
        <v>170</v>
      </c>
      <c r="D23" s="5">
        <v>4971.9299999999994</v>
      </c>
      <c r="E23" s="5">
        <f t="shared" si="0"/>
        <v>621.49124999999992</v>
      </c>
      <c r="F23" s="5">
        <f t="shared" si="1"/>
        <v>596.63159999999993</v>
      </c>
      <c r="G23" s="5">
        <f t="shared" si="2"/>
        <v>9.943859999999999</v>
      </c>
      <c r="H23" s="5">
        <f t="shared" si="3"/>
        <v>6199.9967099999994</v>
      </c>
      <c r="I23" s="17"/>
      <c r="J23" s="17"/>
      <c r="K23" s="17"/>
      <c r="L23" s="17"/>
      <c r="M23" s="17"/>
      <c r="N23" s="17"/>
      <c r="O23" s="17"/>
      <c r="P23" s="17"/>
      <c r="Q23" s="17"/>
    </row>
    <row r="24" spans="1:17" x14ac:dyDescent="0.25">
      <c r="A24" s="31">
        <v>900000</v>
      </c>
      <c r="B24" s="21">
        <v>171</v>
      </c>
      <c r="C24" s="21">
        <v>180</v>
      </c>
      <c r="D24" s="5">
        <v>5132.3200000000006</v>
      </c>
      <c r="E24" s="5">
        <f t="shared" si="0"/>
        <v>641.54000000000008</v>
      </c>
      <c r="F24" s="5">
        <f t="shared" si="1"/>
        <v>615.87840000000006</v>
      </c>
      <c r="G24" s="5">
        <f t="shared" si="2"/>
        <v>10.264640000000002</v>
      </c>
      <c r="H24" s="5">
        <f t="shared" si="3"/>
        <v>6400.0030400000005</v>
      </c>
      <c r="I24" s="17"/>
      <c r="J24" s="17"/>
      <c r="K24" s="17"/>
      <c r="L24" s="17"/>
      <c r="M24" s="17"/>
      <c r="N24" s="17"/>
      <c r="O24" s="17"/>
      <c r="P24" s="17"/>
      <c r="Q24" s="17"/>
    </row>
    <row r="25" spans="1:17" x14ac:dyDescent="0.25">
      <c r="A25" s="31">
        <v>950000</v>
      </c>
      <c r="B25" s="21">
        <v>181</v>
      </c>
      <c r="C25" s="21">
        <v>190</v>
      </c>
      <c r="D25" s="5">
        <v>5372.8949999999995</v>
      </c>
      <c r="E25" s="5">
        <f t="shared" si="0"/>
        <v>671.61187499999994</v>
      </c>
      <c r="F25" s="5">
        <f t="shared" si="1"/>
        <v>644.74739999999997</v>
      </c>
      <c r="G25" s="5">
        <f t="shared" si="2"/>
        <v>10.74579</v>
      </c>
      <c r="H25" s="5">
        <f t="shared" si="3"/>
        <v>6700.0000649999993</v>
      </c>
      <c r="I25" s="17"/>
      <c r="J25" s="17"/>
      <c r="K25" s="17"/>
      <c r="L25" s="17"/>
      <c r="M25" s="17"/>
      <c r="N25" s="17"/>
      <c r="O25" s="17"/>
      <c r="P25" s="17"/>
      <c r="Q25" s="17"/>
    </row>
    <row r="26" spans="1:17" x14ac:dyDescent="0.25">
      <c r="A26" s="31">
        <v>1000000</v>
      </c>
      <c r="B26" s="21">
        <v>191</v>
      </c>
      <c r="C26" s="21">
        <v>200</v>
      </c>
      <c r="D26" s="5">
        <v>5453.0899999999992</v>
      </c>
      <c r="E26" s="5">
        <f t="shared" si="0"/>
        <v>681.6362499999999</v>
      </c>
      <c r="F26" s="5">
        <f t="shared" si="1"/>
        <v>654.37079999999992</v>
      </c>
      <c r="G26" s="5">
        <f t="shared" si="2"/>
        <v>10.906179999999999</v>
      </c>
      <c r="H26" s="5">
        <f t="shared" si="3"/>
        <v>6800.0032299999984</v>
      </c>
      <c r="I26" s="17"/>
      <c r="J26" s="17"/>
      <c r="K26" s="17"/>
      <c r="L26" s="17"/>
      <c r="M26" s="17"/>
      <c r="N26" s="17"/>
      <c r="O26" s="17"/>
      <c r="P26" s="17"/>
      <c r="Q26" s="17"/>
    </row>
    <row r="27" spans="1:17" x14ac:dyDescent="0.25">
      <c r="A27" s="31">
        <v>1050000</v>
      </c>
      <c r="B27" s="21">
        <v>201</v>
      </c>
      <c r="C27" s="21">
        <v>210</v>
      </c>
      <c r="D27" s="5">
        <v>5533.28</v>
      </c>
      <c r="E27" s="5">
        <f t="shared" ref="E27" si="4">D27*12.5%</f>
        <v>691.66</v>
      </c>
      <c r="F27" s="5">
        <f t="shared" ref="F27" si="5">D27*12%</f>
        <v>663.9935999999999</v>
      </c>
      <c r="G27" s="5">
        <f t="shared" ref="G27" si="6">D27*0.2%</f>
        <v>11.066559999999999</v>
      </c>
      <c r="H27" s="5">
        <f t="shared" ref="H27" si="7">SUM(D27:G27)</f>
        <v>6900.0001599999996</v>
      </c>
      <c r="I27" s="17"/>
      <c r="J27" s="17"/>
      <c r="K27" s="17"/>
      <c r="L27" s="17"/>
      <c r="M27" s="17"/>
      <c r="N27" s="17"/>
      <c r="O27" s="17"/>
      <c r="P27" s="17"/>
      <c r="Q27" s="17"/>
    </row>
    <row r="28" spans="1:17" x14ac:dyDescent="0.25">
      <c r="A28" s="31">
        <v>1100000</v>
      </c>
      <c r="B28" s="21">
        <v>211</v>
      </c>
      <c r="C28" s="21">
        <v>220</v>
      </c>
      <c r="D28" s="5">
        <v>5613.47</v>
      </c>
      <c r="E28" s="5">
        <f t="shared" si="0"/>
        <v>701.68375000000003</v>
      </c>
      <c r="F28" s="5">
        <f t="shared" si="1"/>
        <v>673.6164</v>
      </c>
      <c r="G28" s="5">
        <f t="shared" si="2"/>
        <v>11.226940000000001</v>
      </c>
      <c r="H28" s="5">
        <f t="shared" si="3"/>
        <v>6999.9970899999998</v>
      </c>
      <c r="I28" s="17"/>
      <c r="J28" s="17"/>
      <c r="K28" s="17"/>
      <c r="L28" s="17"/>
      <c r="M28" s="17"/>
      <c r="N28" s="17"/>
      <c r="O28" s="17"/>
      <c r="P28" s="17"/>
      <c r="Q28" s="17"/>
    </row>
    <row r="29" spans="1:17" x14ac:dyDescent="0.25">
      <c r="A29" s="31">
        <v>1150000</v>
      </c>
      <c r="B29" s="21">
        <v>221</v>
      </c>
      <c r="C29" s="21">
        <v>230</v>
      </c>
      <c r="D29" s="5">
        <v>5693.665</v>
      </c>
      <c r="E29" s="5">
        <f t="shared" si="0"/>
        <v>711.708125</v>
      </c>
      <c r="F29" s="5">
        <f t="shared" si="1"/>
        <v>683.23979999999995</v>
      </c>
      <c r="G29" s="5">
        <f t="shared" si="2"/>
        <v>11.38733</v>
      </c>
      <c r="H29" s="5">
        <f t="shared" si="3"/>
        <v>7100.0002549999999</v>
      </c>
      <c r="I29" s="17"/>
      <c r="J29" s="17"/>
      <c r="K29" s="17"/>
      <c r="L29" s="17"/>
      <c r="M29" s="17"/>
      <c r="N29" s="17"/>
      <c r="O29" s="17"/>
      <c r="P29" s="17"/>
      <c r="Q29" s="17"/>
    </row>
    <row r="30" spans="1:17" x14ac:dyDescent="0.25">
      <c r="A30" s="31">
        <v>1200000</v>
      </c>
      <c r="B30" s="21">
        <v>231</v>
      </c>
      <c r="C30" s="21">
        <v>240</v>
      </c>
      <c r="D30" s="5">
        <v>5934.2400000000007</v>
      </c>
      <c r="E30" s="5">
        <f t="shared" si="0"/>
        <v>741.78000000000009</v>
      </c>
      <c r="F30" s="5">
        <f t="shared" si="1"/>
        <v>712.10880000000009</v>
      </c>
      <c r="G30" s="5">
        <f t="shared" si="2"/>
        <v>11.868480000000002</v>
      </c>
      <c r="H30" s="5">
        <f t="shared" si="3"/>
        <v>7399.9972800000005</v>
      </c>
      <c r="I30" s="17"/>
      <c r="J30" s="17"/>
      <c r="K30" s="17"/>
      <c r="L30" s="17"/>
      <c r="M30" s="17"/>
      <c r="N30" s="17"/>
      <c r="O30" s="17"/>
      <c r="P30" s="17"/>
      <c r="Q30" s="17"/>
    </row>
    <row r="31" spans="1:17" x14ac:dyDescent="0.25">
      <c r="A31" s="31">
        <v>1250000</v>
      </c>
      <c r="B31" s="21">
        <v>241</v>
      </c>
      <c r="C31" s="21">
        <v>250</v>
      </c>
      <c r="D31" s="5">
        <v>6174.82</v>
      </c>
      <c r="E31" s="5">
        <f t="shared" si="0"/>
        <v>771.85249999999996</v>
      </c>
      <c r="F31" s="5">
        <f t="shared" si="1"/>
        <v>740.97839999999997</v>
      </c>
      <c r="G31" s="5">
        <f t="shared" si="2"/>
        <v>12.349639999999999</v>
      </c>
      <c r="H31" s="5">
        <f t="shared" si="3"/>
        <v>7700.00054</v>
      </c>
      <c r="I31" s="17"/>
      <c r="J31" s="17"/>
      <c r="K31" s="17"/>
      <c r="L31" s="17"/>
      <c r="M31" s="17"/>
      <c r="N31" s="17"/>
      <c r="O31" s="17"/>
      <c r="P31" s="17"/>
      <c r="Q31" s="17"/>
    </row>
    <row r="32" spans="1:17" x14ac:dyDescent="0.25">
      <c r="A32" s="31">
        <v>1500000</v>
      </c>
      <c r="B32" s="21">
        <v>251</v>
      </c>
      <c r="C32" s="21">
        <v>300</v>
      </c>
      <c r="D32" s="5">
        <v>7377.71</v>
      </c>
      <c r="E32" s="5">
        <f t="shared" si="0"/>
        <v>922.21375</v>
      </c>
      <c r="F32" s="5">
        <f t="shared" si="1"/>
        <v>885.3252</v>
      </c>
      <c r="G32" s="5">
        <f t="shared" si="2"/>
        <v>14.755420000000001</v>
      </c>
      <c r="H32" s="5">
        <f t="shared" si="3"/>
        <v>9200.0043699999987</v>
      </c>
      <c r="I32" s="17"/>
      <c r="J32" s="17"/>
      <c r="K32" s="17"/>
      <c r="L32" s="17"/>
      <c r="M32" s="17"/>
      <c r="N32" s="17"/>
      <c r="O32" s="17"/>
      <c r="P32" s="17"/>
      <c r="Q32" s="17"/>
    </row>
    <row r="33" spans="1:17" x14ac:dyDescent="0.25">
      <c r="A33" s="31">
        <v>1750000</v>
      </c>
      <c r="B33" s="21">
        <v>301</v>
      </c>
      <c r="C33" s="21">
        <v>350</v>
      </c>
      <c r="D33" s="5">
        <v>8660.7850000000017</v>
      </c>
      <c r="E33" s="5">
        <f t="shared" si="0"/>
        <v>1082.5981250000002</v>
      </c>
      <c r="F33" s="5">
        <f t="shared" si="1"/>
        <v>1039.2942000000003</v>
      </c>
      <c r="G33" s="5">
        <f t="shared" si="2"/>
        <v>17.321570000000005</v>
      </c>
      <c r="H33" s="5">
        <f t="shared" si="3"/>
        <v>10799.998895000002</v>
      </c>
      <c r="I33" s="17"/>
      <c r="J33" s="17"/>
      <c r="K33" s="17"/>
      <c r="L33" s="17"/>
      <c r="M33" s="17"/>
      <c r="N33" s="17"/>
      <c r="O33" s="17"/>
      <c r="P33" s="17"/>
      <c r="Q33" s="17"/>
    </row>
    <row r="34" spans="1:17" x14ac:dyDescent="0.25">
      <c r="A34" s="31">
        <v>2000000</v>
      </c>
      <c r="B34" s="21">
        <v>351</v>
      </c>
      <c r="C34" s="21">
        <v>400</v>
      </c>
      <c r="D34" s="5">
        <v>9863.67</v>
      </c>
      <c r="E34" s="5">
        <f t="shared" si="0"/>
        <v>1232.95875</v>
      </c>
      <c r="F34" s="5">
        <f t="shared" si="1"/>
        <v>1183.6404</v>
      </c>
      <c r="G34" s="5">
        <f t="shared" si="2"/>
        <v>19.727340000000002</v>
      </c>
      <c r="H34" s="5">
        <f t="shared" si="3"/>
        <v>12299.99649</v>
      </c>
      <c r="I34" s="17"/>
      <c r="J34" s="17"/>
      <c r="K34" s="17"/>
      <c r="L34" s="17"/>
      <c r="M34" s="17"/>
      <c r="N34" s="17"/>
      <c r="O34" s="17"/>
      <c r="P34" s="17"/>
      <c r="Q34" s="17"/>
    </row>
    <row r="35" spans="1:17" x14ac:dyDescent="0.25">
      <c r="A35" s="31">
        <v>2250000</v>
      </c>
      <c r="B35" s="21">
        <v>401</v>
      </c>
      <c r="C35" s="21">
        <v>450</v>
      </c>
      <c r="D35" s="5">
        <v>11066.560000000001</v>
      </c>
      <c r="E35" s="5">
        <f t="shared" si="0"/>
        <v>1383.3200000000002</v>
      </c>
      <c r="F35" s="5">
        <f t="shared" si="1"/>
        <v>1327.9872</v>
      </c>
      <c r="G35" s="5">
        <f t="shared" si="2"/>
        <v>22.133120000000002</v>
      </c>
      <c r="H35" s="5">
        <f t="shared" si="3"/>
        <v>13800.000320000001</v>
      </c>
      <c r="I35" s="17"/>
      <c r="J35" s="17"/>
      <c r="K35" s="17"/>
      <c r="L35" s="17"/>
      <c r="M35" s="17"/>
      <c r="N35" s="17"/>
      <c r="O35" s="17"/>
      <c r="P35" s="17"/>
      <c r="Q35" s="17"/>
    </row>
    <row r="36" spans="1:17" x14ac:dyDescent="0.25">
      <c r="A36" s="31">
        <v>2500000</v>
      </c>
      <c r="B36" s="21">
        <v>451</v>
      </c>
      <c r="C36" s="21">
        <v>500</v>
      </c>
      <c r="D36" s="5">
        <v>12349.64</v>
      </c>
      <c r="E36" s="5">
        <f t="shared" si="0"/>
        <v>1543.7049999999999</v>
      </c>
      <c r="F36" s="5">
        <f t="shared" si="1"/>
        <v>1481.9567999999999</v>
      </c>
      <c r="G36" s="5">
        <f t="shared" si="2"/>
        <v>24.699279999999998</v>
      </c>
      <c r="H36" s="5">
        <f t="shared" si="3"/>
        <v>15400.00108</v>
      </c>
    </row>
    <row r="37" spans="1:17" x14ac:dyDescent="0.25">
      <c r="A37" s="31">
        <v>2750000</v>
      </c>
      <c r="B37" s="21">
        <v>501</v>
      </c>
      <c r="C37" s="21">
        <v>550</v>
      </c>
      <c r="D37" s="5">
        <v>13552.53</v>
      </c>
      <c r="E37" s="5">
        <f t="shared" ref="E37:E45" si="8">D37*12.5%</f>
        <v>1694.0662500000001</v>
      </c>
      <c r="F37" s="5">
        <f t="shared" ref="F37:F45" si="9">D37*12%</f>
        <v>1626.3036</v>
      </c>
      <c r="G37" s="5">
        <f t="shared" ref="G37:G45" si="10">D37*0.2%</f>
        <v>27.105060000000002</v>
      </c>
      <c r="H37" s="5">
        <f t="shared" ref="H37:H45" si="11">SUM(D37:G37)</f>
        <v>16900.004910000003</v>
      </c>
    </row>
    <row r="38" spans="1:17" x14ac:dyDescent="0.25">
      <c r="A38" s="31">
        <v>3000000</v>
      </c>
      <c r="B38" s="21">
        <v>551</v>
      </c>
      <c r="C38" s="21">
        <v>600</v>
      </c>
      <c r="D38" s="5">
        <v>14755.410000000002</v>
      </c>
      <c r="E38" s="5">
        <f t="shared" si="8"/>
        <v>1844.4262500000002</v>
      </c>
      <c r="F38" s="5">
        <f t="shared" si="9"/>
        <v>1770.6492000000001</v>
      </c>
      <c r="G38" s="5">
        <f t="shared" si="10"/>
        <v>29.510820000000002</v>
      </c>
      <c r="H38" s="5">
        <f t="shared" si="11"/>
        <v>18399.99627</v>
      </c>
    </row>
    <row r="39" spans="1:17" x14ac:dyDescent="0.25">
      <c r="A39" s="31">
        <v>3250000</v>
      </c>
      <c r="B39" s="21">
        <v>601</v>
      </c>
      <c r="C39" s="21">
        <v>650</v>
      </c>
      <c r="D39" s="5">
        <v>16038.49</v>
      </c>
      <c r="E39" s="5">
        <f t="shared" si="8"/>
        <v>2004.81125</v>
      </c>
      <c r="F39" s="5">
        <f t="shared" si="9"/>
        <v>1924.6188</v>
      </c>
      <c r="G39" s="5">
        <f t="shared" si="10"/>
        <v>32.076979999999999</v>
      </c>
      <c r="H39" s="5">
        <f t="shared" si="11"/>
        <v>19999.997030000002</v>
      </c>
    </row>
    <row r="40" spans="1:17" x14ac:dyDescent="0.25">
      <c r="A40" s="31">
        <v>3500000</v>
      </c>
      <c r="B40" s="21">
        <v>651</v>
      </c>
      <c r="C40" s="21">
        <v>700</v>
      </c>
      <c r="D40" s="5">
        <v>17241.38</v>
      </c>
      <c r="E40" s="5">
        <f t="shared" si="8"/>
        <v>2155.1725000000001</v>
      </c>
      <c r="F40" s="5">
        <f t="shared" si="9"/>
        <v>2068.9656</v>
      </c>
      <c r="G40" s="5">
        <f t="shared" si="10"/>
        <v>34.482760000000006</v>
      </c>
      <c r="H40" s="5">
        <f t="shared" si="11"/>
        <v>21500.00086</v>
      </c>
    </row>
    <row r="41" spans="1:17" x14ac:dyDescent="0.25">
      <c r="A41" s="31">
        <v>3750000</v>
      </c>
      <c r="B41" s="21">
        <v>701</v>
      </c>
      <c r="C41" s="21">
        <v>750</v>
      </c>
      <c r="D41" s="5">
        <v>18267.04</v>
      </c>
      <c r="E41" s="5">
        <f t="shared" si="8"/>
        <v>2283.38</v>
      </c>
      <c r="F41" s="5">
        <f t="shared" si="9"/>
        <v>2192.0448000000001</v>
      </c>
      <c r="G41" s="5">
        <f t="shared" si="10"/>
        <v>36.534080000000003</v>
      </c>
      <c r="H41" s="5">
        <f t="shared" si="11"/>
        <v>22778.998880000003</v>
      </c>
    </row>
    <row r="42" spans="1:17" x14ac:dyDescent="0.25">
      <c r="A42" s="31">
        <v>4000000</v>
      </c>
      <c r="B42" s="21">
        <v>751</v>
      </c>
      <c r="C42" s="21">
        <v>800</v>
      </c>
      <c r="D42" s="5">
        <v>19727.345000000001</v>
      </c>
      <c r="E42" s="5">
        <f t="shared" si="8"/>
        <v>2465.9181250000001</v>
      </c>
      <c r="F42" s="5">
        <f t="shared" si="9"/>
        <v>2367.2813999999998</v>
      </c>
      <c r="G42" s="5">
        <f t="shared" si="10"/>
        <v>39.454690000000006</v>
      </c>
      <c r="H42" s="5">
        <f t="shared" si="11"/>
        <v>24599.999215</v>
      </c>
    </row>
    <row r="43" spans="1:17" x14ac:dyDescent="0.25">
      <c r="A43" s="31">
        <v>4250000</v>
      </c>
      <c r="B43" s="21">
        <v>801</v>
      </c>
      <c r="C43" s="21">
        <v>850</v>
      </c>
      <c r="D43" s="5">
        <v>20930.23</v>
      </c>
      <c r="E43" s="5">
        <f t="shared" si="8"/>
        <v>2616.2787499999999</v>
      </c>
      <c r="F43" s="5">
        <f t="shared" si="9"/>
        <v>2511.6275999999998</v>
      </c>
      <c r="G43" s="5">
        <f t="shared" si="10"/>
        <v>41.860460000000003</v>
      </c>
      <c r="H43" s="5">
        <f t="shared" si="11"/>
        <v>26099.996810000001</v>
      </c>
    </row>
    <row r="44" spans="1:17" x14ac:dyDescent="0.25">
      <c r="A44" s="31">
        <v>4500000</v>
      </c>
      <c r="B44" s="21">
        <v>851</v>
      </c>
      <c r="C44" s="21">
        <v>900</v>
      </c>
      <c r="D44" s="5">
        <v>22133.120000000003</v>
      </c>
      <c r="E44" s="5">
        <f t="shared" si="8"/>
        <v>2766.6400000000003</v>
      </c>
      <c r="F44" s="5">
        <f t="shared" si="9"/>
        <v>2655.9744000000001</v>
      </c>
      <c r="G44" s="5">
        <f t="shared" si="10"/>
        <v>44.266240000000003</v>
      </c>
      <c r="H44" s="5">
        <f t="shared" si="11"/>
        <v>27600.000640000002</v>
      </c>
    </row>
    <row r="45" spans="1:17" x14ac:dyDescent="0.25">
      <c r="A45" s="31">
        <v>4750000</v>
      </c>
      <c r="B45" s="21">
        <v>901</v>
      </c>
      <c r="C45" s="21">
        <v>950</v>
      </c>
      <c r="D45" s="5">
        <v>23416.2</v>
      </c>
      <c r="E45" s="5">
        <f t="shared" si="8"/>
        <v>2927.0250000000001</v>
      </c>
      <c r="F45" s="5">
        <f t="shared" si="9"/>
        <v>2809.944</v>
      </c>
      <c r="G45" s="5">
        <f t="shared" si="10"/>
        <v>46.8324</v>
      </c>
      <c r="H45" s="5">
        <f t="shared" si="11"/>
        <v>29200.001400000001</v>
      </c>
    </row>
  </sheetData>
  <mergeCells count="3">
    <mergeCell ref="A5:A7"/>
    <mergeCell ref="B5:C6"/>
    <mergeCell ref="D5:H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C5DD-9C1B-4849-88E8-5F15FE393C49}">
  <sheetPr>
    <tabColor theme="8"/>
  </sheetPr>
  <dimension ref="A1:Q22"/>
  <sheetViews>
    <sheetView tabSelected="1" zoomScaleNormal="100" workbookViewId="0">
      <pane ySplit="7" topLeftCell="A13" activePane="bottomLeft" state="frozen"/>
      <selection pane="bottomLeft"/>
    </sheetView>
  </sheetViews>
  <sheetFormatPr defaultRowHeight="15" x14ac:dyDescent="0.25"/>
  <cols>
    <col min="1" max="1" width="22.7109375" customWidth="1"/>
    <col min="2" max="2" width="14.140625" customWidth="1"/>
    <col min="3" max="3" width="12.7109375" customWidth="1"/>
    <col min="4" max="4" width="20.140625" customWidth="1"/>
    <col min="5" max="5" width="19.28515625" customWidth="1"/>
    <col min="6" max="6" width="16.42578125" customWidth="1"/>
    <col min="7" max="7" width="15.42578125" customWidth="1"/>
    <col min="8" max="8" width="18.42578125" customWidth="1"/>
    <col min="9" max="9" width="18.28515625" bestFit="1" customWidth="1"/>
    <col min="10" max="10" width="17.85546875" bestFit="1" customWidth="1"/>
    <col min="11" max="11" width="18.28515625" bestFit="1" customWidth="1"/>
    <col min="12" max="12" width="19.140625" bestFit="1" customWidth="1"/>
    <col min="13" max="14" width="15" bestFit="1" customWidth="1"/>
    <col min="15" max="15" width="12.140625" bestFit="1" customWidth="1"/>
    <col min="16" max="16" width="14.140625" bestFit="1" customWidth="1"/>
    <col min="17" max="17" width="14.42578125" bestFit="1" customWidth="1"/>
  </cols>
  <sheetData>
    <row r="1" spans="1:17" s="3" customFormat="1" x14ac:dyDescent="0.25">
      <c r="A1" s="1" t="s">
        <v>70</v>
      </c>
      <c r="B1" s="1"/>
      <c r="D1" s="4"/>
      <c r="E1" s="4"/>
      <c r="F1" s="4"/>
      <c r="G1" s="4"/>
      <c r="H1" s="4"/>
    </row>
    <row r="2" spans="1:17" s="3" customFormat="1" ht="14.25" x14ac:dyDescent="0.2">
      <c r="A2" s="2" t="s">
        <v>71</v>
      </c>
      <c r="B2" s="2"/>
      <c r="D2" s="4"/>
      <c r="E2" s="4"/>
      <c r="F2" s="4"/>
      <c r="G2" s="4"/>
      <c r="H2" s="4"/>
    </row>
    <row r="3" spans="1:17" s="3" customFormat="1" ht="14.25" x14ac:dyDescent="0.2">
      <c r="A3" s="2" t="s">
        <v>99</v>
      </c>
      <c r="B3" s="2"/>
      <c r="D3" s="4"/>
      <c r="E3" s="4"/>
      <c r="F3" s="4"/>
      <c r="G3" s="4"/>
      <c r="H3" s="4"/>
    </row>
    <row r="4" spans="1:17" x14ac:dyDescent="0.25">
      <c r="A4" s="6"/>
      <c r="B4" s="6"/>
      <c r="C4" s="3"/>
      <c r="D4" s="4"/>
      <c r="E4" s="4"/>
      <c r="F4" s="4"/>
      <c r="G4" s="4"/>
      <c r="H4" s="4"/>
    </row>
    <row r="5" spans="1:17" x14ac:dyDescent="0.25">
      <c r="A5" s="45" t="s">
        <v>0</v>
      </c>
      <c r="B5" s="35" t="s">
        <v>88</v>
      </c>
      <c r="C5" s="36"/>
      <c r="D5" s="39" t="s">
        <v>1</v>
      </c>
      <c r="E5" s="40"/>
      <c r="F5" s="40"/>
      <c r="G5" s="40"/>
      <c r="H5" s="41"/>
    </row>
    <row r="6" spans="1:17" ht="9.75" customHeight="1" x14ac:dyDescent="0.25">
      <c r="A6" s="45"/>
      <c r="B6" s="37"/>
      <c r="C6" s="38"/>
      <c r="D6" s="42"/>
      <c r="E6" s="43"/>
      <c r="F6" s="43"/>
      <c r="G6" s="43"/>
      <c r="H6" s="44"/>
    </row>
    <row r="7" spans="1:17" ht="20.25" customHeight="1" x14ac:dyDescent="0.25">
      <c r="A7" s="45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5" t="s">
        <v>73</v>
      </c>
    </row>
    <row r="8" spans="1:17" x14ac:dyDescent="0.25">
      <c r="A8" s="31">
        <v>100000</v>
      </c>
      <c r="B8" s="19">
        <v>1</v>
      </c>
      <c r="C8" s="19">
        <v>20</v>
      </c>
      <c r="D8" s="5">
        <v>360.86999999999995</v>
      </c>
      <c r="E8" s="5">
        <f>D8*12.5%</f>
        <v>45.108749999999993</v>
      </c>
      <c r="F8" s="5">
        <f>D8*12%</f>
        <v>43.304399999999994</v>
      </c>
      <c r="G8" s="5">
        <f>D8*0.2%</f>
        <v>0.72173999999999994</v>
      </c>
      <c r="H8" s="5">
        <f>SUM(D8:G8)</f>
        <v>450.00488999999993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31">
        <v>250000</v>
      </c>
      <c r="B9" s="19">
        <v>21</v>
      </c>
      <c r="C9" s="19">
        <v>50</v>
      </c>
      <c r="D9" s="5">
        <v>681.63799999999992</v>
      </c>
      <c r="E9" s="5">
        <f t="shared" ref="E9:E19" si="0">D9*12.5%</f>
        <v>85.20474999999999</v>
      </c>
      <c r="F9" s="5">
        <f t="shared" ref="F9:F19" si="1">D9*12%</f>
        <v>81.796559999999985</v>
      </c>
      <c r="G9" s="5">
        <f t="shared" ref="G9:G19" si="2">D9*0.2%</f>
        <v>1.3632759999999999</v>
      </c>
      <c r="H9" s="5">
        <f t="shared" ref="H9:H20" si="3">SUM(D9:G9)</f>
        <v>850.00258599999995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31">
        <v>500000</v>
      </c>
      <c r="B10" s="19">
        <v>51</v>
      </c>
      <c r="C10" s="19">
        <v>100</v>
      </c>
      <c r="D10" s="5">
        <v>1122.6980000000001</v>
      </c>
      <c r="E10" s="5">
        <f t="shared" si="0"/>
        <v>140.33725000000001</v>
      </c>
      <c r="F10" s="5">
        <f t="shared" si="1"/>
        <v>134.72376</v>
      </c>
      <c r="G10" s="5">
        <f t="shared" si="2"/>
        <v>2.2453960000000004</v>
      </c>
      <c r="H10" s="5">
        <f t="shared" si="3"/>
        <v>1400.0044060000002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31">
        <v>1000000</v>
      </c>
      <c r="B11" s="19">
        <v>101</v>
      </c>
      <c r="C11" s="19">
        <v>200</v>
      </c>
      <c r="D11" s="5">
        <v>2004.81</v>
      </c>
      <c r="E11" s="5">
        <f t="shared" si="0"/>
        <v>250.60124999999999</v>
      </c>
      <c r="F11" s="5">
        <f t="shared" si="1"/>
        <v>240.57719999999998</v>
      </c>
      <c r="G11" s="5">
        <f t="shared" si="2"/>
        <v>4.00962</v>
      </c>
      <c r="H11" s="5">
        <f t="shared" si="3"/>
        <v>2499.9980700000001</v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25">
      <c r="A12" s="31">
        <v>1500000</v>
      </c>
      <c r="B12" s="19">
        <v>201</v>
      </c>
      <c r="C12" s="19">
        <v>300</v>
      </c>
      <c r="D12" s="5">
        <v>2766.6400000000003</v>
      </c>
      <c r="E12" s="5">
        <f t="shared" ref="E12:E13" si="4">D12*12.5%</f>
        <v>345.83000000000004</v>
      </c>
      <c r="F12" s="5">
        <f t="shared" ref="F12:F13" si="5">D12*12%</f>
        <v>331.99680000000001</v>
      </c>
      <c r="G12" s="5">
        <f t="shared" ref="G12:G13" si="6">D12*0.2%</f>
        <v>5.5332800000000004</v>
      </c>
      <c r="H12" s="5">
        <f t="shared" ref="H12:H13" si="7">SUM(D12:G12)</f>
        <v>3450.0000800000003</v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31">
        <v>2000000</v>
      </c>
      <c r="B13" s="19">
        <v>301</v>
      </c>
      <c r="C13" s="19">
        <v>400</v>
      </c>
      <c r="D13" s="5">
        <v>3408.1800000000003</v>
      </c>
      <c r="E13" s="5">
        <f t="shared" si="4"/>
        <v>426.02250000000004</v>
      </c>
      <c r="F13" s="5">
        <f t="shared" si="5"/>
        <v>408.98160000000001</v>
      </c>
      <c r="G13" s="5">
        <f t="shared" si="6"/>
        <v>6.8163600000000004</v>
      </c>
      <c r="H13" s="5">
        <f t="shared" si="7"/>
        <v>4250.0004600000002</v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25">
      <c r="A14" s="31">
        <v>2500000</v>
      </c>
      <c r="B14" s="19">
        <v>401</v>
      </c>
      <c r="C14" s="19">
        <v>500</v>
      </c>
      <c r="D14" s="5">
        <v>4009.6200000000003</v>
      </c>
      <c r="E14" s="5">
        <f t="shared" si="0"/>
        <v>501.20250000000004</v>
      </c>
      <c r="F14" s="5">
        <f t="shared" si="1"/>
        <v>481.15440000000001</v>
      </c>
      <c r="G14" s="5">
        <f t="shared" si="2"/>
        <v>8.0192400000000017</v>
      </c>
      <c r="H14" s="5">
        <f t="shared" si="3"/>
        <v>4999.9961400000002</v>
      </c>
      <c r="I14" s="17"/>
      <c r="J14" s="17"/>
      <c r="K14" s="17"/>
      <c r="L14" s="17"/>
      <c r="M14" s="17"/>
      <c r="N14" s="17"/>
      <c r="O14" s="17"/>
      <c r="P14" s="17"/>
      <c r="Q14" s="17"/>
    </row>
    <row r="15" spans="1:17" x14ac:dyDescent="0.25">
      <c r="A15" s="31">
        <v>3000000</v>
      </c>
      <c r="B15" s="19">
        <v>501</v>
      </c>
      <c r="C15" s="19">
        <v>600</v>
      </c>
      <c r="D15" s="5">
        <v>4330.3900000000003</v>
      </c>
      <c r="E15" s="5">
        <f t="shared" si="0"/>
        <v>541.29875000000004</v>
      </c>
      <c r="F15" s="5">
        <f t="shared" si="1"/>
        <v>519.64679999999998</v>
      </c>
      <c r="G15" s="5">
        <f t="shared" si="2"/>
        <v>8.6607800000000008</v>
      </c>
      <c r="H15" s="5">
        <f t="shared" si="3"/>
        <v>5399.9963299999999</v>
      </c>
      <c r="I15" s="17"/>
      <c r="J15" s="17"/>
      <c r="K15" s="17"/>
      <c r="L15" s="17"/>
      <c r="M15" s="17"/>
      <c r="N15" s="17"/>
      <c r="O15" s="17"/>
      <c r="P15" s="17"/>
      <c r="Q15" s="17"/>
    </row>
    <row r="16" spans="1:17" x14ac:dyDescent="0.25">
      <c r="A16" s="31">
        <v>3500000</v>
      </c>
      <c r="B16" s="19">
        <v>601</v>
      </c>
      <c r="C16" s="19">
        <v>700</v>
      </c>
      <c r="D16" s="5">
        <v>4570.97</v>
      </c>
      <c r="E16" s="5">
        <f t="shared" ref="E16:E17" si="8">D16*12.5%</f>
        <v>571.37125000000003</v>
      </c>
      <c r="F16" s="5">
        <f t="shared" ref="F16:F17" si="9">D16*12%</f>
        <v>548.51639999999998</v>
      </c>
      <c r="G16" s="5">
        <f t="shared" ref="G16:G17" si="10">D16*0.2%</f>
        <v>9.14194</v>
      </c>
      <c r="H16" s="5">
        <f t="shared" ref="H16:H17" si="11">SUM(D16:G16)</f>
        <v>5699.9995900000004</v>
      </c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25">
      <c r="A17" s="31">
        <v>4000000</v>
      </c>
      <c r="B17" s="19">
        <v>701</v>
      </c>
      <c r="C17" s="19">
        <v>800</v>
      </c>
      <c r="D17" s="5">
        <v>4811.55</v>
      </c>
      <c r="E17" s="5">
        <f t="shared" si="8"/>
        <v>601.44375000000002</v>
      </c>
      <c r="F17" s="5">
        <f t="shared" si="9"/>
        <v>577.38599999999997</v>
      </c>
      <c r="G17" s="5">
        <f t="shared" si="10"/>
        <v>9.6231000000000009</v>
      </c>
      <c r="H17" s="5">
        <f t="shared" si="11"/>
        <v>6000.0028499999999</v>
      </c>
      <c r="I17" s="17"/>
      <c r="J17" s="17"/>
      <c r="K17" s="17"/>
      <c r="L17" s="17"/>
      <c r="M17" s="17"/>
      <c r="N17" s="17"/>
      <c r="O17" s="17"/>
      <c r="P17" s="17"/>
      <c r="Q17" s="17"/>
    </row>
    <row r="18" spans="1:17" x14ac:dyDescent="0.25">
      <c r="A18" s="31">
        <v>4500000</v>
      </c>
      <c r="B18" s="19">
        <v>801</v>
      </c>
      <c r="C18" s="19">
        <v>900</v>
      </c>
      <c r="D18" s="5">
        <v>5052.1279999999997</v>
      </c>
      <c r="E18" s="5">
        <f t="shared" ref="E18" si="12">D18*12.5%</f>
        <v>631.51599999999996</v>
      </c>
      <c r="F18" s="5">
        <f t="shared" ref="F18" si="13">D18*12%</f>
        <v>606.25536</v>
      </c>
      <c r="G18" s="5">
        <f t="shared" ref="G18" si="14">D18*0.2%</f>
        <v>10.104255999999999</v>
      </c>
      <c r="H18" s="5">
        <f t="shared" ref="H18" si="15">SUM(D18:G18)</f>
        <v>6300.0036159999991</v>
      </c>
      <c r="I18" s="17"/>
      <c r="J18" s="17"/>
      <c r="K18" s="17"/>
      <c r="L18" s="17"/>
      <c r="M18" s="17"/>
      <c r="N18" s="17"/>
      <c r="O18" s="17"/>
      <c r="P18" s="17"/>
      <c r="Q18" s="17"/>
    </row>
    <row r="19" spans="1:17" x14ac:dyDescent="0.25">
      <c r="A19" s="31">
        <v>5000000</v>
      </c>
      <c r="B19" s="19">
        <v>901</v>
      </c>
      <c r="C19" s="19">
        <v>1000</v>
      </c>
      <c r="D19" s="5">
        <v>5292.7</v>
      </c>
      <c r="E19" s="5">
        <f t="shared" si="0"/>
        <v>661.58749999999998</v>
      </c>
      <c r="F19" s="5">
        <f t="shared" si="1"/>
        <v>635.12399999999991</v>
      </c>
      <c r="G19" s="5">
        <f t="shared" si="2"/>
        <v>10.5854</v>
      </c>
      <c r="H19" s="5">
        <f t="shared" si="3"/>
        <v>6599.9968999999992</v>
      </c>
      <c r="I19" s="17"/>
      <c r="J19" s="17"/>
      <c r="K19" s="17"/>
      <c r="L19" s="17"/>
      <c r="M19" s="17"/>
      <c r="N19" s="17"/>
      <c r="O19" s="17"/>
      <c r="P19" s="17"/>
      <c r="Q19" s="17"/>
    </row>
    <row r="20" spans="1:17" x14ac:dyDescent="0.25">
      <c r="A20" s="31">
        <v>5000000</v>
      </c>
      <c r="B20" s="19">
        <v>1001</v>
      </c>
      <c r="C20" s="30" t="s">
        <v>90</v>
      </c>
      <c r="D20" s="5">
        <v>5613.47</v>
      </c>
      <c r="E20" s="5">
        <f>D20*12.5%</f>
        <v>701.68375000000003</v>
      </c>
      <c r="F20" s="5">
        <f>D20*12%</f>
        <v>673.6164</v>
      </c>
      <c r="G20" s="5">
        <f>D20*0.2%</f>
        <v>11.226940000000001</v>
      </c>
      <c r="H20" s="5">
        <f t="shared" si="3"/>
        <v>6999.9970899999998</v>
      </c>
      <c r="I20" s="17"/>
      <c r="J20" s="17"/>
      <c r="K20" s="17"/>
      <c r="L20" s="17"/>
      <c r="M20" s="17"/>
      <c r="N20" s="17"/>
      <c r="O20" s="17"/>
      <c r="P20" s="17"/>
      <c r="Q20" s="17"/>
    </row>
    <row r="21" spans="1:17" x14ac:dyDescent="0.25">
      <c r="E21" s="13"/>
    </row>
    <row r="22" spans="1:17" x14ac:dyDescent="0.25">
      <c r="G22" t="s">
        <v>97</v>
      </c>
    </row>
  </sheetData>
  <mergeCells count="3">
    <mergeCell ref="A5:A7"/>
    <mergeCell ref="B5:C6"/>
    <mergeCell ref="D5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6D6E-BDCF-4215-8DF0-ECFF1A71896A}">
  <sheetPr>
    <tabColor theme="8"/>
  </sheetPr>
  <dimension ref="A1:Q15"/>
  <sheetViews>
    <sheetView zoomScaleNormal="100" workbookViewId="0">
      <pane ySplit="7" topLeftCell="A8" activePane="bottomLeft" state="frozen"/>
      <selection pane="bottomLeft" activeCell="A15" sqref="A15"/>
    </sheetView>
  </sheetViews>
  <sheetFormatPr defaultRowHeight="15" x14ac:dyDescent="0.25"/>
  <cols>
    <col min="1" max="1" width="22.7109375" customWidth="1"/>
    <col min="2" max="2" width="13.28515625" customWidth="1"/>
    <col min="3" max="3" width="11.7109375" customWidth="1"/>
    <col min="4" max="4" width="18.85546875" customWidth="1"/>
    <col min="5" max="5" width="19.28515625" customWidth="1"/>
    <col min="6" max="6" width="16.42578125" customWidth="1"/>
    <col min="7" max="7" width="15.42578125" customWidth="1"/>
    <col min="8" max="8" width="16.28515625" customWidth="1"/>
    <col min="9" max="9" width="18.28515625" bestFit="1" customWidth="1"/>
    <col min="10" max="10" width="17.85546875" bestFit="1" customWidth="1"/>
    <col min="11" max="11" width="18.28515625" bestFit="1" customWidth="1"/>
    <col min="12" max="12" width="19.140625" bestFit="1" customWidth="1"/>
    <col min="13" max="14" width="15" bestFit="1" customWidth="1"/>
    <col min="15" max="15" width="12.140625" bestFit="1" customWidth="1"/>
    <col min="16" max="16" width="14.140625" bestFit="1" customWidth="1"/>
    <col min="17" max="17" width="14.42578125" bestFit="1" customWidth="1"/>
  </cols>
  <sheetData>
    <row r="1" spans="1:17" s="3" customFormat="1" x14ac:dyDescent="0.25">
      <c r="A1" s="1" t="s">
        <v>70</v>
      </c>
      <c r="B1" s="1"/>
      <c r="D1" s="4"/>
      <c r="E1" s="4"/>
      <c r="F1" s="4"/>
      <c r="G1" s="4"/>
      <c r="H1" s="4"/>
    </row>
    <row r="2" spans="1:17" s="3" customFormat="1" ht="14.25" x14ac:dyDescent="0.2">
      <c r="A2" s="2" t="s">
        <v>71</v>
      </c>
      <c r="B2" s="2"/>
      <c r="D2" s="4"/>
      <c r="E2" s="4"/>
      <c r="F2" s="4"/>
      <c r="G2" s="4"/>
      <c r="H2" s="4"/>
    </row>
    <row r="3" spans="1:17" s="3" customFormat="1" ht="14.25" x14ac:dyDescent="0.2">
      <c r="A3" s="2" t="s">
        <v>100</v>
      </c>
      <c r="B3" s="2"/>
      <c r="D3" s="4"/>
      <c r="E3" s="4"/>
      <c r="F3" s="4"/>
      <c r="G3" s="4"/>
      <c r="H3" s="4"/>
    </row>
    <row r="4" spans="1:17" x14ac:dyDescent="0.25">
      <c r="A4" s="6"/>
      <c r="B4" s="6"/>
      <c r="C4" s="3"/>
      <c r="D4" s="4"/>
      <c r="E4" s="4"/>
      <c r="F4" s="4"/>
      <c r="G4" s="4"/>
      <c r="H4" s="4"/>
    </row>
    <row r="5" spans="1:17" x14ac:dyDescent="0.25">
      <c r="A5" s="45" t="s">
        <v>0</v>
      </c>
      <c r="B5" s="35" t="s">
        <v>88</v>
      </c>
      <c r="C5" s="36"/>
      <c r="D5" s="39" t="s">
        <v>1</v>
      </c>
      <c r="E5" s="40"/>
      <c r="F5" s="40"/>
      <c r="G5" s="40"/>
      <c r="H5" s="41"/>
    </row>
    <row r="6" spans="1:17" ht="9.75" customHeight="1" x14ac:dyDescent="0.25">
      <c r="A6" s="45"/>
      <c r="B6" s="37"/>
      <c r="C6" s="38"/>
      <c r="D6" s="42"/>
      <c r="E6" s="43"/>
      <c r="F6" s="43"/>
      <c r="G6" s="43"/>
      <c r="H6" s="44"/>
    </row>
    <row r="7" spans="1:17" ht="20.25" customHeight="1" x14ac:dyDescent="0.25">
      <c r="A7" s="45"/>
      <c r="B7" s="18" t="s">
        <v>85</v>
      </c>
      <c r="C7" s="24" t="s">
        <v>86</v>
      </c>
      <c r="D7" s="25" t="s">
        <v>76</v>
      </c>
      <c r="E7" s="25" t="s">
        <v>74</v>
      </c>
      <c r="F7" s="25" t="s">
        <v>89</v>
      </c>
      <c r="G7" s="25" t="s">
        <v>75</v>
      </c>
      <c r="H7" s="25" t="s">
        <v>73</v>
      </c>
    </row>
    <row r="8" spans="1:17" x14ac:dyDescent="0.25">
      <c r="A8" s="31">
        <v>100000</v>
      </c>
      <c r="B8" s="19">
        <v>1</v>
      </c>
      <c r="C8" s="19">
        <v>20</v>
      </c>
      <c r="D8" s="5">
        <v>737.67000000000007</v>
      </c>
      <c r="E8" s="5">
        <f>D8*12.5%</f>
        <v>92.208750000000009</v>
      </c>
      <c r="F8" s="5">
        <f>D8*12%</f>
        <v>88.520400000000009</v>
      </c>
      <c r="G8" s="5">
        <f>D8*0.2%</f>
        <v>1.4753400000000001</v>
      </c>
      <c r="H8" s="5">
        <f>SUM(D8:G8)</f>
        <v>919.87449000000004</v>
      </c>
      <c r="I8" s="17"/>
      <c r="J8" s="17"/>
      <c r="K8" s="17"/>
      <c r="L8" s="17"/>
      <c r="M8" s="17"/>
      <c r="N8" s="17"/>
      <c r="O8" s="17"/>
      <c r="P8" s="17"/>
      <c r="Q8" s="17"/>
    </row>
    <row r="9" spans="1:17" x14ac:dyDescent="0.25">
      <c r="A9" s="31">
        <v>250000</v>
      </c>
      <c r="B9" s="19">
        <v>21</v>
      </c>
      <c r="C9" s="19">
        <v>50</v>
      </c>
      <c r="D9" s="5">
        <v>1106.5</v>
      </c>
      <c r="E9" s="5">
        <f t="shared" ref="E9:E13" si="0">D9*12.5%</f>
        <v>138.3125</v>
      </c>
      <c r="F9" s="5">
        <f t="shared" ref="F9:F13" si="1">D9*12%</f>
        <v>132.78</v>
      </c>
      <c r="G9" s="5">
        <f t="shared" ref="G9:G13" si="2">D9*0.2%</f>
        <v>2.2130000000000001</v>
      </c>
      <c r="H9" s="5">
        <f t="shared" ref="H9:H13" si="3">SUM(D9:G9)</f>
        <v>1379.8054999999999</v>
      </c>
      <c r="I9" s="17"/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31">
        <v>500000</v>
      </c>
      <c r="B10" s="19">
        <v>51</v>
      </c>
      <c r="C10" s="19">
        <v>100</v>
      </c>
      <c r="D10" s="5">
        <v>1868.768</v>
      </c>
      <c r="E10" s="5">
        <f t="shared" si="0"/>
        <v>233.596</v>
      </c>
      <c r="F10" s="5">
        <f t="shared" si="1"/>
        <v>224.25216</v>
      </c>
      <c r="G10" s="5">
        <f t="shared" si="2"/>
        <v>3.737536</v>
      </c>
      <c r="H10" s="5">
        <f t="shared" si="3"/>
        <v>2330.3536960000001</v>
      </c>
      <c r="I10" s="17"/>
      <c r="J10" s="17"/>
      <c r="K10" s="17"/>
      <c r="L10" s="17"/>
      <c r="M10" s="17"/>
      <c r="N10" s="17"/>
      <c r="O10" s="17"/>
      <c r="P10" s="17"/>
      <c r="Q10" s="17"/>
    </row>
    <row r="11" spans="1:17" x14ac:dyDescent="0.25">
      <c r="A11" s="31">
        <v>1000000</v>
      </c>
      <c r="B11" s="19">
        <v>101</v>
      </c>
      <c r="C11" s="19">
        <v>200</v>
      </c>
      <c r="D11" s="5">
        <v>2950.6800000000003</v>
      </c>
      <c r="E11" s="5">
        <f t="shared" si="0"/>
        <v>368.83500000000004</v>
      </c>
      <c r="F11" s="5">
        <f t="shared" si="1"/>
        <v>354.08160000000004</v>
      </c>
      <c r="G11" s="5">
        <f t="shared" si="2"/>
        <v>5.9013600000000004</v>
      </c>
      <c r="H11" s="5">
        <f t="shared" si="3"/>
        <v>3679.4979600000001</v>
      </c>
      <c r="I11" s="17"/>
      <c r="J11" s="17"/>
      <c r="K11" s="17"/>
      <c r="L11" s="17"/>
      <c r="M11" s="17"/>
      <c r="N11" s="17"/>
      <c r="O11" s="17"/>
      <c r="P11" s="17"/>
      <c r="Q11" s="17"/>
    </row>
    <row r="12" spans="1:17" x14ac:dyDescent="0.25">
      <c r="A12" s="31">
        <v>2500000</v>
      </c>
      <c r="B12" s="19">
        <v>201</v>
      </c>
      <c r="C12" s="19">
        <v>500</v>
      </c>
      <c r="D12" s="5">
        <v>4917.8</v>
      </c>
      <c r="E12" s="5">
        <f t="shared" si="0"/>
        <v>614.72500000000002</v>
      </c>
      <c r="F12" s="5">
        <f t="shared" si="1"/>
        <v>590.13599999999997</v>
      </c>
      <c r="G12" s="5">
        <f t="shared" si="2"/>
        <v>9.8356000000000012</v>
      </c>
      <c r="H12" s="5">
        <f t="shared" si="3"/>
        <v>6132.4966000000004</v>
      </c>
      <c r="I12" s="17"/>
      <c r="J12" s="17"/>
      <c r="K12" s="17"/>
      <c r="L12" s="17"/>
      <c r="M12" s="17"/>
      <c r="N12" s="17"/>
      <c r="O12" s="17"/>
      <c r="P12" s="17"/>
      <c r="Q12" s="17"/>
    </row>
    <row r="13" spans="1:17" x14ac:dyDescent="0.25">
      <c r="A13" s="31">
        <v>5000000</v>
      </c>
      <c r="B13" s="19">
        <v>501</v>
      </c>
      <c r="C13" s="30" t="s">
        <v>90</v>
      </c>
      <c r="D13" s="5">
        <v>5901.36</v>
      </c>
      <c r="E13" s="5">
        <f t="shared" si="0"/>
        <v>737.67</v>
      </c>
      <c r="F13" s="5">
        <f t="shared" si="1"/>
        <v>708.16319999999996</v>
      </c>
      <c r="G13" s="5">
        <f t="shared" si="2"/>
        <v>11.802719999999999</v>
      </c>
      <c r="H13" s="5">
        <f t="shared" si="3"/>
        <v>7358.9959199999994</v>
      </c>
      <c r="I13" s="17"/>
      <c r="J13" s="17"/>
      <c r="K13" s="17"/>
      <c r="L13" s="17"/>
      <c r="M13" s="17"/>
      <c r="N13" s="17"/>
      <c r="O13" s="17"/>
      <c r="P13" s="17"/>
      <c r="Q13" s="17"/>
    </row>
    <row r="14" spans="1:17" x14ac:dyDescent="0.25">
      <c r="E14" s="13"/>
    </row>
    <row r="15" spans="1:17" x14ac:dyDescent="0.25">
      <c r="G15" t="s">
        <v>97</v>
      </c>
    </row>
  </sheetData>
  <mergeCells count="3">
    <mergeCell ref="A5:A7"/>
    <mergeCell ref="B5:C6"/>
    <mergeCell ref="D5:H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35"/>
  <sheetViews>
    <sheetView zoomScale="85" zoomScaleNormal="85" workbookViewId="0">
      <selection activeCell="C30" sqref="C30:L30"/>
    </sheetView>
  </sheetViews>
  <sheetFormatPr defaultRowHeight="15" x14ac:dyDescent="0.25"/>
  <cols>
    <col min="1" max="1" width="11.7109375" bestFit="1" customWidth="1"/>
    <col min="2" max="2" width="22.42578125" bestFit="1" customWidth="1"/>
    <col min="3" max="3" width="13.42578125" style="13" bestFit="1" customWidth="1"/>
    <col min="4" max="4" width="21.140625" style="13" customWidth="1"/>
    <col min="5" max="5" width="16.7109375" style="13" bestFit="1" customWidth="1"/>
    <col min="6" max="6" width="21" style="13" bestFit="1" customWidth="1"/>
    <col min="7" max="7" width="20.85546875" style="13" bestFit="1" customWidth="1"/>
    <col min="8" max="8" width="18.28515625" style="13" bestFit="1" customWidth="1"/>
    <col min="9" max="9" width="21" style="13" bestFit="1" customWidth="1"/>
    <col min="10" max="10" width="20.140625" style="13" bestFit="1" customWidth="1"/>
    <col min="11" max="11" width="19.85546875" style="13" bestFit="1" customWidth="1"/>
    <col min="12" max="12" width="20.42578125" style="13" bestFit="1" customWidth="1"/>
    <col min="13" max="13" width="19" bestFit="1" customWidth="1"/>
  </cols>
  <sheetData>
    <row r="1" spans="1:13" x14ac:dyDescent="0.25">
      <c r="A1" s="7" t="s">
        <v>27</v>
      </c>
      <c r="B1" s="7" t="s">
        <v>2</v>
      </c>
      <c r="C1" s="12" t="s">
        <v>28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29</v>
      </c>
      <c r="J1" s="12" t="s">
        <v>30</v>
      </c>
      <c r="K1" s="12" t="s">
        <v>31</v>
      </c>
      <c r="L1" s="12" t="s">
        <v>32</v>
      </c>
    </row>
    <row r="2" spans="1:13" x14ac:dyDescent="0.25">
      <c r="A2" s="10" t="s">
        <v>33</v>
      </c>
      <c r="B2" s="8" t="s">
        <v>11</v>
      </c>
      <c r="C2" s="13">
        <v>247928.04806243777</v>
      </c>
      <c r="D2" s="13">
        <v>111068962963.5213</v>
      </c>
      <c r="E2" s="13">
        <v>1442207.4040808056</v>
      </c>
      <c r="F2" s="13">
        <v>193586446.87445119</v>
      </c>
      <c r="G2" s="13">
        <v>2015618390.0838754</v>
      </c>
      <c r="H2" s="13">
        <v>18817778.268380594</v>
      </c>
      <c r="I2" s="13">
        <v>33515983.012692757</v>
      </c>
      <c r="J2" s="13">
        <v>151582.82082267545</v>
      </c>
      <c r="K2" s="13">
        <v>737381.61671170045</v>
      </c>
      <c r="L2" s="13">
        <v>20400.125315263871</v>
      </c>
      <c r="M2" s="16">
        <f>+D2+E2</f>
        <v>111070405170.92538</v>
      </c>
    </row>
    <row r="3" spans="1:13" x14ac:dyDescent="0.25">
      <c r="A3" s="10" t="s">
        <v>34</v>
      </c>
      <c r="B3" s="8" t="s">
        <v>12</v>
      </c>
      <c r="C3" s="13">
        <v>2224</v>
      </c>
      <c r="D3" s="13">
        <v>1779841111.5417609</v>
      </c>
      <c r="E3" s="13">
        <v>3782348.321927391</v>
      </c>
      <c r="F3" s="13">
        <v>33540138.824568484</v>
      </c>
      <c r="G3" s="13">
        <v>7506425.5104814097</v>
      </c>
      <c r="H3" s="13">
        <v>0</v>
      </c>
      <c r="I3" s="13">
        <v>12662497.413806662</v>
      </c>
      <c r="J3" s="13">
        <v>57127.696268896034</v>
      </c>
      <c r="K3" s="13">
        <v>14358.874868676721</v>
      </c>
      <c r="L3" s="13">
        <v>0</v>
      </c>
      <c r="M3" s="16">
        <f t="shared" ref="M3:M28" si="0">+D3+E3</f>
        <v>1783623459.8636882</v>
      </c>
    </row>
    <row r="4" spans="1:13" x14ac:dyDescent="0.25">
      <c r="A4" s="10" t="s">
        <v>35</v>
      </c>
      <c r="B4" s="8" t="s">
        <v>13</v>
      </c>
      <c r="C4" s="13">
        <v>9676</v>
      </c>
      <c r="D4" s="13">
        <v>13985668864.66741</v>
      </c>
      <c r="E4" s="13">
        <v>21213323.736388709</v>
      </c>
      <c r="F4" s="13">
        <v>70968320.5574615</v>
      </c>
      <c r="G4" s="13">
        <v>18066222.15073432</v>
      </c>
      <c r="H4" s="13">
        <v>507500</v>
      </c>
      <c r="I4" s="13">
        <v>87667597.762220755</v>
      </c>
      <c r="J4" s="13">
        <v>161340.09827012022</v>
      </c>
      <c r="K4" s="13">
        <v>33016.567355869331</v>
      </c>
      <c r="L4" s="13">
        <v>664.50435729847356</v>
      </c>
      <c r="M4" s="16">
        <f t="shared" si="0"/>
        <v>14006882188.403799</v>
      </c>
    </row>
    <row r="5" spans="1:13" x14ac:dyDescent="0.25">
      <c r="A5" s="10" t="s">
        <v>36</v>
      </c>
      <c r="B5" s="8" t="s">
        <v>14</v>
      </c>
      <c r="C5" s="13">
        <v>2221</v>
      </c>
      <c r="D5" s="13">
        <v>5260878508.4470501</v>
      </c>
      <c r="E5" s="13">
        <v>55665749.449854299</v>
      </c>
      <c r="F5" s="13">
        <v>108044189.47588673</v>
      </c>
      <c r="G5" s="13">
        <v>28672103.87306859</v>
      </c>
      <c r="H5" s="13">
        <v>9170856.0000000037</v>
      </c>
      <c r="I5" s="13">
        <v>27105273.232916757</v>
      </c>
      <c r="J5" s="13">
        <v>289653.07420219469</v>
      </c>
      <c r="K5" s="13">
        <v>53754.175207467626</v>
      </c>
      <c r="L5" s="13">
        <v>35174.744533312027</v>
      </c>
      <c r="M5" s="16">
        <f t="shared" si="0"/>
        <v>5316544257.896904</v>
      </c>
    </row>
    <row r="6" spans="1:13" x14ac:dyDescent="0.25">
      <c r="A6" s="10" t="s">
        <v>37</v>
      </c>
      <c r="B6" s="8" t="s">
        <v>15</v>
      </c>
      <c r="C6" s="13">
        <v>923</v>
      </c>
      <c r="D6" s="13">
        <v>2769609710.4359632</v>
      </c>
      <c r="E6" s="13">
        <v>85236405.986501932</v>
      </c>
      <c r="F6" s="13">
        <v>95617913.859289259</v>
      </c>
      <c r="G6" s="13">
        <v>26718604.922362313</v>
      </c>
      <c r="H6" s="13">
        <v>7908157.8000000035</v>
      </c>
      <c r="I6" s="13">
        <v>8543212.0933047254</v>
      </c>
      <c r="J6" s="13">
        <v>171074.11526845879</v>
      </c>
      <c r="K6" s="13">
        <v>46012.311967135734</v>
      </c>
      <c r="L6" s="13">
        <v>35719.785408186559</v>
      </c>
      <c r="M6" s="16">
        <f t="shared" si="0"/>
        <v>2854846116.4224653</v>
      </c>
    </row>
    <row r="7" spans="1:13" x14ac:dyDescent="0.25">
      <c r="A7" s="10" t="s">
        <v>38</v>
      </c>
      <c r="B7" s="8" t="s">
        <v>16</v>
      </c>
      <c r="C7" s="13">
        <v>278</v>
      </c>
      <c r="D7" s="13">
        <v>1032398554.9639593</v>
      </c>
      <c r="E7" s="13">
        <v>75727714.403099775</v>
      </c>
      <c r="F7" s="13">
        <v>87873313.601273581</v>
      </c>
      <c r="G7" s="13">
        <v>29618248.366325997</v>
      </c>
      <c r="H7" s="13">
        <v>31538512.047445785</v>
      </c>
      <c r="I7" s="13">
        <v>5914041.4602510259</v>
      </c>
      <c r="J7" s="13">
        <v>551227.56487538398</v>
      </c>
      <c r="K7" s="13">
        <v>52338.262103291418</v>
      </c>
      <c r="L7" s="13">
        <v>201747.60099742419</v>
      </c>
      <c r="M7" s="16">
        <f t="shared" si="0"/>
        <v>1108126269.3670592</v>
      </c>
    </row>
    <row r="8" spans="1:13" x14ac:dyDescent="0.25">
      <c r="A8" s="10" t="s">
        <v>39</v>
      </c>
      <c r="B8" s="8" t="s">
        <v>8</v>
      </c>
      <c r="C8" s="13">
        <v>125</v>
      </c>
      <c r="D8" s="13">
        <v>530044223.92076027</v>
      </c>
      <c r="E8" s="13">
        <v>50674124.280120142</v>
      </c>
      <c r="F8" s="13">
        <v>61004918.075858973</v>
      </c>
      <c r="G8" s="13">
        <v>39597753.76298058</v>
      </c>
      <c r="H8" s="13">
        <v>1725000</v>
      </c>
      <c r="I8" s="13">
        <v>2676146.1072393474</v>
      </c>
      <c r="J8" s="13">
        <v>118625.69241318123</v>
      </c>
      <c r="K8" s="13">
        <v>78855.157038359743</v>
      </c>
      <c r="L8" s="13">
        <v>18274.5</v>
      </c>
      <c r="M8" s="16">
        <f t="shared" si="0"/>
        <v>580718348.20088041</v>
      </c>
    </row>
    <row r="9" spans="1:13" x14ac:dyDescent="0.25">
      <c r="A9" s="10" t="s">
        <v>40</v>
      </c>
      <c r="B9" s="8" t="s">
        <v>17</v>
      </c>
      <c r="C9" s="13">
        <v>39</v>
      </c>
      <c r="D9" s="13">
        <v>146986818.33061278</v>
      </c>
      <c r="E9" s="13">
        <v>29621082.274629537</v>
      </c>
      <c r="F9" s="13">
        <v>50385704.201756708</v>
      </c>
      <c r="G9" s="13">
        <v>23188213.154063866</v>
      </c>
      <c r="H9" s="13">
        <v>6794012</v>
      </c>
      <c r="I9" s="13">
        <v>460424.6855382183</v>
      </c>
      <c r="J9" s="13">
        <v>90379.506046375522</v>
      </c>
      <c r="K9" s="13">
        <v>37294.665788793238</v>
      </c>
      <c r="L9" s="13">
        <v>69803.332600852737</v>
      </c>
      <c r="M9" s="16">
        <f t="shared" si="0"/>
        <v>176607900.60524231</v>
      </c>
    </row>
    <row r="10" spans="1:13" x14ac:dyDescent="0.25">
      <c r="A10" s="10" t="s">
        <v>41</v>
      </c>
      <c r="B10" s="8" t="s">
        <v>25</v>
      </c>
      <c r="C10" s="13">
        <v>32</v>
      </c>
      <c r="D10" s="13">
        <v>118998606.66619021</v>
      </c>
      <c r="E10" s="13">
        <v>33541395.686964292</v>
      </c>
      <c r="F10" s="13">
        <v>41865000.784384839</v>
      </c>
      <c r="G10" s="13">
        <v>24416376.707567737</v>
      </c>
      <c r="H10" s="13">
        <v>24398294.772792935</v>
      </c>
      <c r="I10" s="13">
        <v>484191.63352449919</v>
      </c>
      <c r="J10" s="13">
        <v>73083.127841499707</v>
      </c>
      <c r="K10" s="13">
        <v>53703.986420917834</v>
      </c>
      <c r="L10" s="13">
        <v>126287.32934343569</v>
      </c>
      <c r="M10" s="16">
        <f t="shared" si="0"/>
        <v>152540002.35315451</v>
      </c>
    </row>
    <row r="11" spans="1:13" x14ac:dyDescent="0.25">
      <c r="A11" s="10" t="s">
        <v>42</v>
      </c>
      <c r="B11" s="8" t="s">
        <v>43</v>
      </c>
      <c r="C11" s="13">
        <v>28</v>
      </c>
      <c r="D11" s="13">
        <v>69846090.0995529</v>
      </c>
      <c r="E11" s="13">
        <v>33802959.269900739</v>
      </c>
      <c r="F11" s="13">
        <v>32161599.789830677</v>
      </c>
      <c r="G11" s="13">
        <v>52161860.491118886</v>
      </c>
      <c r="H11" s="13">
        <v>50148897.035300598</v>
      </c>
      <c r="I11" s="13">
        <v>268790.10743700672</v>
      </c>
      <c r="J11" s="13">
        <v>59506.577885531929</v>
      </c>
      <c r="K11" s="13">
        <v>85179.037943187359</v>
      </c>
      <c r="L11" s="13">
        <v>264714.5639608223</v>
      </c>
      <c r="M11" s="16">
        <f t="shared" si="0"/>
        <v>103649049.36945364</v>
      </c>
    </row>
    <row r="12" spans="1:13" x14ac:dyDescent="0.25">
      <c r="A12" s="10" t="s">
        <v>44</v>
      </c>
      <c r="B12" s="8" t="s">
        <v>18</v>
      </c>
      <c r="C12" s="13">
        <v>33</v>
      </c>
      <c r="D12" s="13">
        <v>133663368.58863781</v>
      </c>
      <c r="E12" s="13">
        <v>82128742.458297282</v>
      </c>
      <c r="F12" s="13">
        <v>57104870.348978356</v>
      </c>
      <c r="G12" s="13">
        <v>37496100.934086576</v>
      </c>
      <c r="H12" s="13">
        <v>12380261.600000003</v>
      </c>
      <c r="I12" s="13">
        <v>363750.51413568965</v>
      </c>
      <c r="J12" s="13">
        <v>87414.581378563205</v>
      </c>
      <c r="K12" s="13">
        <v>61770.112487428225</v>
      </c>
      <c r="L12" s="13">
        <v>105403.75000050689</v>
      </c>
      <c r="M12" s="16">
        <f t="shared" si="0"/>
        <v>215792111.04693508</v>
      </c>
    </row>
    <row r="13" spans="1:13" x14ac:dyDescent="0.25">
      <c r="A13" s="10" t="s">
        <v>45</v>
      </c>
      <c r="B13" s="8" t="s">
        <v>26</v>
      </c>
      <c r="C13" s="13">
        <v>90</v>
      </c>
      <c r="D13" s="13">
        <v>328575536.97378898</v>
      </c>
      <c r="E13" s="13">
        <v>309249782.1068539</v>
      </c>
      <c r="F13" s="13">
        <v>198751586.32693097</v>
      </c>
      <c r="G13" s="13">
        <v>159632767.2380617</v>
      </c>
      <c r="H13" s="13">
        <v>118970001.15957159</v>
      </c>
      <c r="I13" s="13">
        <v>1142515.3084605723</v>
      </c>
      <c r="J13" s="13">
        <v>346247.44698695739</v>
      </c>
      <c r="K13" s="13">
        <v>304368.08389400347</v>
      </c>
      <c r="L13" s="13">
        <v>407413.78813540726</v>
      </c>
      <c r="M13" s="16">
        <f t="shared" si="0"/>
        <v>637825319.08064294</v>
      </c>
    </row>
    <row r="14" spans="1:13" x14ac:dyDescent="0.25">
      <c r="A14" s="10" t="s">
        <v>46</v>
      </c>
      <c r="B14" s="8" t="s">
        <v>9</v>
      </c>
      <c r="C14" s="13">
        <v>65</v>
      </c>
      <c r="D14" s="13">
        <v>221376817.81934741</v>
      </c>
      <c r="E14" s="13">
        <v>271022722.27418423</v>
      </c>
      <c r="F14" s="13">
        <v>162282613.36451063</v>
      </c>
      <c r="G14" s="13">
        <v>375702895.84046966</v>
      </c>
      <c r="H14" s="13">
        <v>132904003.26747045</v>
      </c>
      <c r="I14" s="13">
        <v>1030949.6712526989</v>
      </c>
      <c r="J14" s="13">
        <v>319883.14041756641</v>
      </c>
      <c r="K14" s="13">
        <v>663570.65463069931</v>
      </c>
      <c r="L14" s="13">
        <v>600006.73212368647</v>
      </c>
      <c r="M14" s="16">
        <f t="shared" si="0"/>
        <v>492399540.09353161</v>
      </c>
    </row>
    <row r="15" spans="1:13" x14ac:dyDescent="0.25">
      <c r="A15" s="10" t="s">
        <v>47</v>
      </c>
      <c r="B15" s="8" t="s">
        <v>10</v>
      </c>
      <c r="C15" s="13">
        <v>39</v>
      </c>
      <c r="D15" s="13">
        <v>151458444.74119678</v>
      </c>
      <c r="E15" s="13">
        <v>161234859.42256916</v>
      </c>
      <c r="F15" s="13">
        <v>102480915.65354149</v>
      </c>
      <c r="G15" s="13">
        <v>337986439.37433636</v>
      </c>
      <c r="H15" s="13">
        <v>135991183.75910795</v>
      </c>
      <c r="I15" s="13">
        <v>641718.93647101778</v>
      </c>
      <c r="J15" s="13">
        <v>211409.76854256639</v>
      </c>
      <c r="K15" s="13">
        <v>657328.79014055943</v>
      </c>
      <c r="L15" s="13">
        <v>442382.16227609082</v>
      </c>
      <c r="M15" s="16">
        <f t="shared" si="0"/>
        <v>312693304.16376591</v>
      </c>
    </row>
    <row r="16" spans="1:13" x14ac:dyDescent="0.25">
      <c r="A16" s="10" t="s">
        <v>48</v>
      </c>
      <c r="B16" s="8" t="s">
        <v>49</v>
      </c>
      <c r="C16" s="13">
        <v>38</v>
      </c>
      <c r="D16" s="13">
        <v>144259490.29252541</v>
      </c>
      <c r="E16" s="13">
        <v>179774649.47187725</v>
      </c>
      <c r="F16" s="13">
        <v>107864789.68312633</v>
      </c>
      <c r="G16" s="13">
        <v>462542218.61630744</v>
      </c>
      <c r="H16" s="13">
        <v>165833347.41231129</v>
      </c>
      <c r="I16" s="13">
        <v>533963.82450439595</v>
      </c>
      <c r="J16" s="13">
        <v>177767.90951653672</v>
      </c>
      <c r="K16" s="13">
        <v>763983.29827670031</v>
      </c>
      <c r="L16" s="13">
        <v>570660.65556167625</v>
      </c>
      <c r="M16" s="16">
        <f t="shared" si="0"/>
        <v>324034139.76440263</v>
      </c>
    </row>
    <row r="17" spans="1:13" x14ac:dyDescent="0.25">
      <c r="A17" s="10" t="s">
        <v>50</v>
      </c>
      <c r="B17" s="8" t="s">
        <v>19</v>
      </c>
      <c r="C17" s="13">
        <v>51</v>
      </c>
      <c r="D17" s="13">
        <v>221571826.65059185</v>
      </c>
      <c r="E17" s="13">
        <v>240542908.31323984</v>
      </c>
      <c r="F17" s="13">
        <v>154038244.98794389</v>
      </c>
      <c r="G17" s="13">
        <v>939493925.74929881</v>
      </c>
      <c r="H17" s="13">
        <v>279510777.86311537</v>
      </c>
      <c r="I17" s="13">
        <v>878461.37256018503</v>
      </c>
      <c r="J17" s="13">
        <v>292820.45752006175</v>
      </c>
      <c r="K17" s="13">
        <v>1775290.4098004755</v>
      </c>
      <c r="L17" s="13">
        <v>1037998.0834440258</v>
      </c>
      <c r="M17" s="16">
        <f t="shared" si="0"/>
        <v>462114734.96383166</v>
      </c>
    </row>
    <row r="18" spans="1:13" x14ac:dyDescent="0.25">
      <c r="A18" s="10" t="s">
        <v>51</v>
      </c>
      <c r="B18" s="8" t="s">
        <v>20</v>
      </c>
      <c r="C18" s="13">
        <v>36</v>
      </c>
      <c r="D18" s="13">
        <v>138431851.96469</v>
      </c>
      <c r="E18" s="13">
        <v>172604988.17286497</v>
      </c>
      <c r="F18" s="13">
        <v>103562992.90371898</v>
      </c>
      <c r="G18" s="13">
        <v>931460225.61584306</v>
      </c>
      <c r="H18" s="13">
        <v>287157304.39834452</v>
      </c>
      <c r="I18" s="13">
        <v>494486.60647678148</v>
      </c>
      <c r="J18" s="13">
        <v>164712.91505929924</v>
      </c>
      <c r="K18" s="13">
        <v>1475789.6092993005</v>
      </c>
      <c r="L18" s="13">
        <v>890770.63188198337</v>
      </c>
      <c r="M18" s="16">
        <f t="shared" si="0"/>
        <v>311036840.137555</v>
      </c>
    </row>
    <row r="19" spans="1:13" x14ac:dyDescent="0.25">
      <c r="A19" s="10" t="s">
        <v>52</v>
      </c>
      <c r="B19" s="8" t="s">
        <v>53</v>
      </c>
      <c r="C19" s="13">
        <v>24</v>
      </c>
      <c r="D19" s="13">
        <v>86403122.776470259</v>
      </c>
      <c r="E19" s="13">
        <v>107712097.73081881</v>
      </c>
      <c r="F19" s="13">
        <v>64627258.638491288</v>
      </c>
      <c r="G19" s="13">
        <v>686520301.14520419</v>
      </c>
      <c r="H19" s="13">
        <v>379266770.3193202</v>
      </c>
      <c r="I19" s="13">
        <v>345325.64705642289</v>
      </c>
      <c r="J19" s="13">
        <v>115030.73418339351</v>
      </c>
      <c r="K19" s="13">
        <v>1143701.3287827156</v>
      </c>
      <c r="L19" s="13">
        <v>1079295.5245539066</v>
      </c>
      <c r="M19" s="16">
        <f t="shared" si="0"/>
        <v>194115220.50728905</v>
      </c>
    </row>
    <row r="20" spans="1:13" x14ac:dyDescent="0.25">
      <c r="A20" s="10" t="s">
        <v>54</v>
      </c>
      <c r="B20" s="8" t="s">
        <v>21</v>
      </c>
      <c r="C20" s="13">
        <v>23</v>
      </c>
      <c r="D20" s="13">
        <v>131692556.51549597</v>
      </c>
      <c r="E20" s="13">
        <v>100420663.42032926</v>
      </c>
      <c r="F20" s="13">
        <v>75377398.052197561</v>
      </c>
      <c r="G20" s="13">
        <v>813983000.26323271</v>
      </c>
      <c r="H20" s="13">
        <v>356679858.50583607</v>
      </c>
      <c r="I20" s="13">
        <v>429994.58092631295</v>
      </c>
      <c r="J20" s="13">
        <v>140569.46011151586</v>
      </c>
      <c r="K20" s="13">
        <v>1379880.082701006</v>
      </c>
      <c r="L20" s="13">
        <v>976782.0326953046</v>
      </c>
      <c r="M20" s="16">
        <f t="shared" si="0"/>
        <v>232113219.93582523</v>
      </c>
    </row>
    <row r="21" spans="1:13" x14ac:dyDescent="0.25">
      <c r="A21" s="10" t="s">
        <v>55</v>
      </c>
      <c r="B21" s="8" t="s">
        <v>56</v>
      </c>
      <c r="C21" s="13">
        <v>23</v>
      </c>
      <c r="D21" s="13">
        <v>101836642.50083362</v>
      </c>
      <c r="E21" s="13">
        <v>124101726.35019262</v>
      </c>
      <c r="F21" s="13">
        <v>74461035.810115591</v>
      </c>
      <c r="G21" s="13">
        <v>1113307972.6633778</v>
      </c>
      <c r="H21" s="13">
        <v>344727536.69525123</v>
      </c>
      <c r="I21" s="13">
        <v>443037.38941962121</v>
      </c>
      <c r="J21" s="13">
        <v>146494.03974404454</v>
      </c>
      <c r="K21" s="13">
        <v>1940158.392879671</v>
      </c>
      <c r="L21" s="13">
        <v>835375.44887244946</v>
      </c>
      <c r="M21" s="16">
        <f t="shared" si="0"/>
        <v>225938368.85102624</v>
      </c>
    </row>
    <row r="22" spans="1:13" x14ac:dyDescent="0.25">
      <c r="A22" s="10" t="s">
        <v>57</v>
      </c>
      <c r="B22" s="8" t="s">
        <v>58</v>
      </c>
      <c r="C22" s="13">
        <v>11</v>
      </c>
      <c r="D22" s="13">
        <v>107083236.291389</v>
      </c>
      <c r="E22" s="13">
        <v>57081701.614236251</v>
      </c>
      <c r="F22" s="13">
        <v>54721645.968541741</v>
      </c>
      <c r="G22" s="13">
        <v>552785559.08511472</v>
      </c>
      <c r="H22" s="13">
        <v>154276594.10686004</v>
      </c>
      <c r="I22" s="13">
        <v>370958.3973709445</v>
      </c>
      <c r="J22" s="13">
        <v>123652.79912364816</v>
      </c>
      <c r="K22" s="13">
        <v>1157865.8817730346</v>
      </c>
      <c r="L22" s="13">
        <v>643220.91688541276</v>
      </c>
      <c r="M22" s="16">
        <f t="shared" si="0"/>
        <v>164164937.90562525</v>
      </c>
    </row>
    <row r="23" spans="1:13" x14ac:dyDescent="0.25">
      <c r="A23" s="10" t="s">
        <v>59</v>
      </c>
      <c r="B23" s="8" t="s">
        <v>60</v>
      </c>
      <c r="C23" s="13">
        <v>19</v>
      </c>
      <c r="D23" s="13">
        <v>73891739.803490683</v>
      </c>
      <c r="E23" s="13">
        <v>82156926.308443621</v>
      </c>
      <c r="F23" s="13">
        <v>49294155.78506618</v>
      </c>
      <c r="G23" s="13">
        <v>1083320436.8175116</v>
      </c>
      <c r="H23" s="13">
        <v>520793150.36578739</v>
      </c>
      <c r="I23" s="13">
        <v>221596.05320842727</v>
      </c>
      <c r="J23" s="13">
        <v>69204.997477915342</v>
      </c>
      <c r="K23" s="13">
        <v>1408817.9680949056</v>
      </c>
      <c r="L23" s="13">
        <v>1017322.5183088784</v>
      </c>
      <c r="M23" s="16">
        <f t="shared" si="0"/>
        <v>156048666.1119343</v>
      </c>
    </row>
    <row r="24" spans="1:13" x14ac:dyDescent="0.25">
      <c r="A24" s="10" t="s">
        <v>61</v>
      </c>
      <c r="B24" s="8" t="s">
        <v>22</v>
      </c>
      <c r="C24" s="13">
        <v>71</v>
      </c>
      <c r="D24" s="13">
        <v>322043314.82795501</v>
      </c>
      <c r="E24" s="13">
        <v>508891141.88795984</v>
      </c>
      <c r="F24" s="13">
        <v>215395075.7627759</v>
      </c>
      <c r="G24" s="13">
        <v>5501972181.2321568</v>
      </c>
      <c r="H24" s="13">
        <v>2127623496.1248281</v>
      </c>
      <c r="I24" s="13">
        <v>1422811.3726881179</v>
      </c>
      <c r="J24" s="13">
        <v>394659.53668448213</v>
      </c>
      <c r="K24" s="13">
        <v>8928845.0025675315</v>
      </c>
      <c r="L24" s="13">
        <v>4854614.0761972629</v>
      </c>
      <c r="M24" s="16">
        <f t="shared" si="0"/>
        <v>830934456.71591485</v>
      </c>
    </row>
    <row r="25" spans="1:13" x14ac:dyDescent="0.25">
      <c r="A25" s="10" t="s">
        <v>62</v>
      </c>
      <c r="B25" s="8" t="s">
        <v>23</v>
      </c>
      <c r="C25" s="13">
        <v>19</v>
      </c>
      <c r="D25" s="13">
        <v>77860810.590733752</v>
      </c>
      <c r="E25" s="13">
        <v>81570082.477820039</v>
      </c>
      <c r="F25" s="13">
        <v>47742049.486692034</v>
      </c>
      <c r="G25" s="13">
        <v>1438442606.6448755</v>
      </c>
      <c r="H25" s="13">
        <v>1538733457.4525442</v>
      </c>
      <c r="I25" s="13">
        <v>453705.87001063651</v>
      </c>
      <c r="J25" s="13">
        <v>143591.30845906306</v>
      </c>
      <c r="K25" s="13">
        <v>3603736.1800253415</v>
      </c>
      <c r="L25" s="13">
        <v>3624602.7844920936</v>
      </c>
      <c r="M25" s="16">
        <f t="shared" si="0"/>
        <v>159430893.06855381</v>
      </c>
    </row>
    <row r="26" spans="1:13" x14ac:dyDescent="0.25">
      <c r="A26" s="10" t="s">
        <v>63</v>
      </c>
      <c r="B26" s="8" t="s">
        <v>24</v>
      </c>
      <c r="C26" s="13">
        <v>13</v>
      </c>
      <c r="D26" s="13">
        <v>60875868.168437876</v>
      </c>
      <c r="E26" s="13">
        <v>47906396.905133113</v>
      </c>
      <c r="F26" s="13">
        <v>28743838.143079866</v>
      </c>
      <c r="G26" s="13">
        <v>966561330.55223703</v>
      </c>
      <c r="H26" s="13">
        <v>1770793504.2242627</v>
      </c>
      <c r="I26" s="13">
        <v>218852.06186956668</v>
      </c>
      <c r="J26" s="13">
        <v>62317.147090157669</v>
      </c>
      <c r="K26" s="13">
        <v>1617917.926200792</v>
      </c>
      <c r="L26" s="13">
        <v>3360324.5983474641</v>
      </c>
      <c r="M26" s="16">
        <f t="shared" si="0"/>
        <v>108782265.073571</v>
      </c>
    </row>
    <row r="27" spans="1:13" x14ac:dyDescent="0.25">
      <c r="A27" s="10" t="s">
        <v>64</v>
      </c>
      <c r="B27" s="8" t="s">
        <v>65</v>
      </c>
      <c r="C27" s="13">
        <v>9</v>
      </c>
      <c r="D27" s="13">
        <v>52099499.968149103</v>
      </c>
      <c r="E27" s="13">
        <v>58874374.960186392</v>
      </c>
      <c r="F27" s="13">
        <v>35324624.976111829</v>
      </c>
      <c r="G27" s="13">
        <v>1101679973.2442307</v>
      </c>
      <c r="H27" s="13">
        <v>1265072430.7013221</v>
      </c>
      <c r="I27" s="13">
        <v>182218.50528728642</v>
      </c>
      <c r="J27" s="13">
        <v>58839.502666123226</v>
      </c>
      <c r="K27" s="13">
        <v>1811808.0326398504</v>
      </c>
      <c r="L27" s="13">
        <v>2245668.6510308739</v>
      </c>
      <c r="M27" s="16">
        <f t="shared" si="0"/>
        <v>110973874.92833549</v>
      </c>
    </row>
    <row r="28" spans="1:13" x14ac:dyDescent="0.25">
      <c r="A28" s="10" t="s">
        <v>66</v>
      </c>
      <c r="B28" s="8" t="s">
        <v>67</v>
      </c>
      <c r="C28" s="13">
        <v>39</v>
      </c>
      <c r="D28" s="13">
        <v>198465041.34179217</v>
      </c>
      <c r="E28" s="13">
        <v>163273835.2710197</v>
      </c>
      <c r="F28" s="13">
        <v>97964301.162611827</v>
      </c>
      <c r="G28" s="13">
        <v>3169952660.8561201</v>
      </c>
      <c r="H28" s="13">
        <v>29111680154.008461</v>
      </c>
      <c r="I28" s="13">
        <v>608922.23907431064</v>
      </c>
      <c r="J28" s="13">
        <v>173235.99192390882</v>
      </c>
      <c r="K28" s="13">
        <v>4918817.4724329403</v>
      </c>
      <c r="L28" s="13">
        <v>46467891.290369786</v>
      </c>
      <c r="M28" s="16">
        <f t="shared" si="0"/>
        <v>361738876.61281186</v>
      </c>
    </row>
    <row r="29" spans="1:13" x14ac:dyDescent="0.25">
      <c r="A29" s="11" t="s">
        <v>68</v>
      </c>
      <c r="B29" s="9"/>
      <c r="C29" s="14">
        <v>264077.0480624378</v>
      </c>
      <c r="D29" s="14">
        <v>139314824622.41003</v>
      </c>
      <c r="E29" s="14">
        <v>3139254909.9594936</v>
      </c>
      <c r="F29" s="14">
        <v>2404784943.0991964</v>
      </c>
      <c r="G29" s="14">
        <v>21938404794.89505</v>
      </c>
      <c r="H29" s="14">
        <v>38853402839.888313</v>
      </c>
      <c r="I29" s="14">
        <v>189081425.85970476</v>
      </c>
      <c r="J29" s="14">
        <v>4751452.0107801203</v>
      </c>
      <c r="K29" s="14">
        <v>34805543.882032357</v>
      </c>
      <c r="L29" s="14">
        <v>69932520.131693393</v>
      </c>
    </row>
    <row r="30" spans="1:13" x14ac:dyDescent="0.25">
      <c r="C30" s="13" t="e">
        <f>+#REF!+#REF!+#REF!+#REF!+#REF!+#REF!+#REF!</f>
        <v>#REF!</v>
      </c>
      <c r="D30" s="13" t="e">
        <f>+#REF!+#REF!+#REF!+#REF!+#REF!+#REF!+#REF!</f>
        <v>#REF!</v>
      </c>
      <c r="F30" s="13" t="e">
        <f>+#REF!+#REF!+#REF!+#REF!+#REF!+#REF!+#REF!</f>
        <v>#REF!</v>
      </c>
      <c r="G30" s="13" t="e">
        <f>+#REF!+#REF!+#REF!+#REF!+#REF!+#REF!+#REF!</f>
        <v>#REF!</v>
      </c>
      <c r="H30" s="13" t="e">
        <f>+#REF!+#REF!+#REF!+#REF!+#REF!+#REF!+#REF!</f>
        <v>#REF!</v>
      </c>
      <c r="I30" s="13" t="e">
        <f>+#REF!+#REF!+#REF!+#REF!+#REF!+#REF!+#REF!</f>
        <v>#REF!</v>
      </c>
      <c r="J30" s="13" t="e">
        <f>+#REF!+#REF!+#REF!+#REF!+#REF!+#REF!+#REF!</f>
        <v>#REF!</v>
      </c>
      <c r="K30" s="13" t="e">
        <f>+#REF!+#REF!+#REF!+#REF!+#REF!+#REF!+#REF!</f>
        <v>#REF!</v>
      </c>
      <c r="L30" s="13" t="e">
        <f>+#REF!+#REF!+#REF!+#REF!+#REF!+#REF!+#REF!</f>
        <v>#REF!</v>
      </c>
    </row>
    <row r="32" spans="1:13" x14ac:dyDescent="0.25">
      <c r="C32" s="15">
        <v>220245.04806243777</v>
      </c>
      <c r="D32" s="5">
        <v>110122524031.21886</v>
      </c>
      <c r="I32" s="5">
        <v>28199562.329999998</v>
      </c>
      <c r="M32" t="s">
        <v>69</v>
      </c>
    </row>
    <row r="35" spans="3:12" x14ac:dyDescent="0.25">
      <c r="C35" s="13" t="e">
        <f>+C29-C30-C32</f>
        <v>#REF!</v>
      </c>
      <c r="D35" s="13" t="e">
        <f>+D29+E29-D30-D32</f>
        <v>#REF!</v>
      </c>
      <c r="F35" s="13" t="e">
        <f>+F29-F30</f>
        <v>#REF!</v>
      </c>
      <c r="G35" s="13" t="e">
        <f t="shared" ref="G35:L35" si="1">+G29-G30</f>
        <v>#REF!</v>
      </c>
      <c r="H35" s="13" t="e">
        <f t="shared" si="1"/>
        <v>#REF!</v>
      </c>
      <c r="I35" s="13" t="e">
        <f t="shared" si="1"/>
        <v>#REF!</v>
      </c>
      <c r="J35" s="13" t="e">
        <f t="shared" si="1"/>
        <v>#REF!</v>
      </c>
      <c r="K35" s="13" t="e">
        <f t="shared" si="1"/>
        <v>#REF!</v>
      </c>
      <c r="L35" s="13" t="e">
        <f t="shared" si="1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City of Paranaque</vt:lpstr>
      <vt:lpstr>Municipality of Cainta, Rizal</vt:lpstr>
      <vt:lpstr>City of Muntinlupa</vt:lpstr>
      <vt:lpstr>City of Makati</vt:lpstr>
      <vt:lpstr>City of Manila</vt:lpstr>
      <vt:lpstr>City of Caloocan</vt:lpstr>
      <vt:lpstr>City of Mandaluyong</vt:lpstr>
      <vt:lpstr>City of Pasay</vt:lpstr>
      <vt:lpstr>Quezon City </vt:lpstr>
      <vt:lpstr>City of San Juan</vt:lpstr>
      <vt:lpstr>checking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Fernandez</dc:creator>
  <cp:lastModifiedBy>leandro estrera</cp:lastModifiedBy>
  <dcterms:created xsi:type="dcterms:W3CDTF">2018-10-27T01:58:21Z</dcterms:created>
  <dcterms:modified xsi:type="dcterms:W3CDTF">2024-10-09T05:39:03Z</dcterms:modified>
</cp:coreProperties>
</file>