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xcel\ZIVA\NEW\Sprint 46\NOVPHILSCR-2968 Comprehensive General Liability Insurance_Proposal and Policy Generation\"/>
    </mc:Choice>
  </mc:AlternateContent>
  <bookViews>
    <workbookView xWindow="0" yWindow="0" windowWidth="21600" windowHeight="9600"/>
  </bookViews>
  <sheets>
    <sheet name="Issue-Updated" sheetId="1" r:id="rId1"/>
    <sheet name="Screen shot" sheetId="2" r:id="rId2"/>
    <sheet name="Sheet1" sheetId="3" r:id="rId3"/>
  </sheets>
  <definedNames>
    <definedName name="_xlnm._FilterDatabase" localSheetId="0" hidden="1">'Issue-Updated'!$A$1:$D$43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6" i="3" l="1"/>
  <c r="K19" i="3"/>
  <c r="J19" i="3"/>
  <c r="I19" i="3"/>
  <c r="H19" i="3"/>
</calcChain>
</file>

<file path=xl/sharedStrings.xml><?xml version="1.0" encoding="utf-8"?>
<sst xmlns="http://schemas.openxmlformats.org/spreadsheetml/2006/main" count="128" uniqueCount="68">
  <si>
    <t xml:space="preserve">S.NO </t>
  </si>
  <si>
    <t>Description</t>
  </si>
  <si>
    <t>Status</t>
  </si>
  <si>
    <t>Once caluculate premium generated, again change the floor sq, calculate premium not calculating.</t>
  </si>
  <si>
    <t>Building permit MUNTINLUPA PREMIUM RATES mismatch.</t>
  </si>
  <si>
    <t>Builidng permit , Basic cover COMBINED SINGLE LIMIT FOR TPBI &amp; TPPD defaulty add as 0 premium .</t>
  </si>
  <si>
    <t>While edit floor area ( input string 32 error occurs ).</t>
  </si>
  <si>
    <t>Fill basic cover and click calculate premium, then again add basic cover &amp;click save. First recored will be hide.</t>
  </si>
  <si>
    <t>Delete the added cover and again add new cover details ,  System still  showing old data.</t>
  </si>
  <si>
    <t>Changing Policy Group from CGL / Annual aggregate : PML, Pml amout not clear.</t>
  </si>
  <si>
    <t>Annual aggregate&gt;SUPPLEMENTARY FIRST AID PAYMENTS&gt;  Unable to delete the added record in basic cover</t>
  </si>
  <si>
    <t>While change the address in location details ( input string was not in correct format )error occurs.</t>
  </si>
  <si>
    <t>Premises details address search is not working.</t>
  </si>
  <si>
    <t>Premium with Taxes displaying wrong.</t>
  </si>
  <si>
    <t>Alredy basic cover added but still system ask to add alteast one record.</t>
  </si>
  <si>
    <t>Open</t>
  </si>
  <si>
    <t>Once click on convert proposal system displaying an alert message as "Something went wrong: REF00000118"</t>
  </si>
  <si>
    <t>Remarks</t>
  </si>
  <si>
    <t>Policy Preview: The remote server returned an error: (500) Internal Server Error.</t>
  </si>
  <si>
    <t>Closed</t>
  </si>
  <si>
    <t xml:space="preserve">Annual Aggregate &gt; TPPBI &amp; TPPD LIABILITY &gt; Rate should not be allow to enter more than 10 % </t>
  </si>
  <si>
    <t>Fill any details in extension and click save button, and again open the covers tab, all the records will be deleted.</t>
  </si>
  <si>
    <t>1. Frist add csl cover &gt; calculate premium and  delete the location, then change the Policy Group as Annual aggregate.(Alredy basic cover added but still system ask to add alteast one record.) error occurs.
2. Again if Policy Group change to CGL , policy cover have no records found error occurs.</t>
  </si>
  <si>
    <t>Fixed</t>
  </si>
  <si>
    <t>CSL &gt; Purpose Type: Others &gt; Add extention cover &gt; (Input string was not in a correct format.Couldn't store &lt;10.0% of the loss, minimum of Php 5,000.00 for each and every loss (For Third Party Property Damage Only)&gt; in SMIId Column.  Expected type is Int32.) Error occurs.</t>
  </si>
  <si>
    <t>Unable to edit the floor area after RFQ generate. Input 32 string error occurs</t>
  </si>
  <si>
    <t>Error occurs while change the location . Even I delete the location and add again , still system throws error: Delete the location and add</t>
  </si>
  <si>
    <t>Annual Aggregate &gt; Bussiness permit &gt; cover added , but system throws error: Add Cover Details For Location: 1</t>
  </si>
  <si>
    <t>Note: Default cover automaticaly removed while click calculate premium button.</t>
  </si>
  <si>
    <t>After RFQ Generated, Edit floor area or address  and click svae btn ( Something went wrong: REF00000145) error occurs</t>
  </si>
  <si>
    <t>Cover not saved ( Add Cover Details For Location: 1) Error occurs.</t>
  </si>
  <si>
    <t>In Edit flow &gt; Proposal Type is removed. Unable to continue the flow</t>
  </si>
  <si>
    <t>Need confirmation with nijanthan</t>
  </si>
  <si>
    <t>After quote  Generated, close the lead and again continue the lead in dashboard. Proposal type value is removed.</t>
  </si>
  <si>
    <t>closed</t>
  </si>
  <si>
    <t>Annual aggregate&gt;SUPPLEMENTARY FIRST AID PAYMENTS&gt;Enter and clear the record , while click the save button System throws an error Add/Clear Cover Records.</t>
  </si>
  <si>
    <t>when issue 20 comes, after edit the location Error: Undefined occurs.</t>
  </si>
  <si>
    <t>Edit location, Error: Undefined occurs.</t>
  </si>
  <si>
    <t>SUPPLEMENTARY FIRST AID PAYMENTS &gt;  should have Limit per Occurrence, Limit per Person  only</t>
  </si>
  <si>
    <t>CAR PARK LIABILITY CLAUSE &gt;   (Limit per Occurrence for TPBI ) Not applicable.</t>
  </si>
  <si>
    <t>Mulitple locations added.</t>
  </si>
  <si>
    <t>Annual aggregate &gt; Building permit &gt;  calculate premium and again change the purpose type as &gt; others.
System can able to add multiple locations.</t>
  </si>
  <si>
    <t>SUPPLEMENTARY FIRST AID PAYMENTS &gt; Currently System not allow to enter rate 0, System should accepct the rate 0.</t>
  </si>
  <si>
    <t>For Extension Covers ( FOOD AND DRINK POISONING ENDORSEMENT, 
PERSONAL INJURY AND ADVERTISING INJURY LIABILITY COVERAGE, 
PREMISES MEDICAL PAYMENTS ENDORSEMENT) Limit per Occurrence for TPPD not applicable.</t>
  </si>
  <si>
    <t>For Extension covers (AUTOMATIC ADDITIONS OF PREMISES, 
CONTIGENT LIABILITY FOR SUB-CONTRACTORS AND CONTRACTORS, 
TENANTS LIABILITY ENDORSEMENT, 
CONTIGENT LIABILITY FOR THE PROVISION OF THE TRANSPORTATION SERVICES, 
FIRE AND EXPLOSION ENDORSEMENT, 
LIABILITY DUE TO ARMED ROBBERY &amp;/or IRRESISTIBLE FORCE, 
AUTOMATIC REINSTATEMENT OF LOSS, 
INDEPENDENT CONTRACTOR'S LIABILITY ENDORSEMENT, 
72 HOURS SUDDEN AND ACCIDENTAL POLLUTION, 
CONTRACTUAL LIABILITY ENDORSEMENT, 
HEAT APPLICATION WARRANTY) 
Limit per occurance TPBI , limit per person, limit per occurrance TPPD are not applicable.</t>
  </si>
  <si>
    <t>For Extension Covers ( CAR PARK LIABILITY CLAUSET, 
VALET PARKING CLAUSE,
EXCESS AUTOMOBILE LIABILITY EXTENSION CLAUSE) Limit per Occurrence for TPPBI not applicable.</t>
  </si>
  <si>
    <t>WATER DAMAGE ENDORSEMENT &gt;   (Limit per Occurrence for TPPD ) Only  applicable.</t>
  </si>
  <si>
    <t>The Policy Schedule contents, such as the CAR product, need to be modified.</t>
  </si>
  <si>
    <t>will Discuss</t>
  </si>
  <si>
    <t>Refer CGL Basic Cover &amp; Extension sheet will discuss</t>
  </si>
  <si>
    <t>CSL &gt; Purpose Type: Others, Bulding Permit  &amp; Annual aggerate .
System accepts floor area as 0.,also calculates premium.</t>
  </si>
  <si>
    <t>For Extension cover GARAGE KEEPERS LIABILITY COVERAGE  should have Limit per Occurrence only.(TPPD)</t>
  </si>
  <si>
    <t>Not a Issue</t>
  </si>
  <si>
    <t>DevStatus</t>
  </si>
  <si>
    <t>Policy shedule : Error: Sub report could not be shown printed in policy schedule, &amp; Blank Pages printed in bottom of the schedule.</t>
  </si>
  <si>
    <t>FOOD POISONING ENDORSEMENT &gt;  Limit per Occurrence for TPPD Not Applicable.</t>
  </si>
  <si>
    <t>CSL &gt; Building Permit &gt; City of Muntilupa (  Rate Field should not be editable ).</t>
  </si>
  <si>
    <t xml:space="preserve">Renewal of sgi - after Rfq generate Location details is removed. </t>
  </si>
  <si>
    <r>
      <t>Annual aggregate &gt; bussiness permit &gt; First fill supplement and first aid record . And again edit it (Sum Insured cannot exceed Basic Cover SI</t>
    </r>
    <r>
      <rPr>
        <b/>
        <sz val="11"/>
        <color theme="1"/>
        <rFont val="Calibri"/>
        <family val="2"/>
        <scheme val="minor"/>
      </rPr>
      <t xml:space="preserve">) </t>
    </r>
    <r>
      <rPr>
        <sz val="11"/>
        <color theme="1"/>
        <rFont val="Calibri"/>
        <family val="2"/>
        <scheme val="minor"/>
      </rPr>
      <t>ERROR OCCCURS.</t>
    </r>
  </si>
  <si>
    <t>Annual aggregate &gt; Rate Approval alert popup - wordings mismatch.</t>
  </si>
  <si>
    <t>( COMBINED SINGLE LIMIT FOR TPBI &amp; TPPD rate 0.01 ) approval asking, Approval not required for  flat rate.</t>
  </si>
  <si>
    <t>In the Policy Schedule, the Cover Description and Cover Deductibles tabs should be printed only if they contain values.</t>
  </si>
  <si>
    <t xml:space="preserve">Advertising sign &amp; decoration liability cover cuurently tppd freeazable , it should be unfreeze. </t>
  </si>
  <si>
    <t>Own renewal Premis details not bind.</t>
  </si>
  <si>
    <t>For market renewal - Prev policy Dropdown showing as car &amp; ear it should be freeze as Comphrensive general liablity.</t>
  </si>
  <si>
    <t>Market renewal /  renewal of sgi , edit or add location details -  input string error occurs.</t>
  </si>
  <si>
    <t>Miscellenous fee not print in policy shedule, invoice , quote.</t>
  </si>
  <si>
    <t>Inward faculatative - &gt;  for approval leads, after aprroval ( Inward details ) removed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</si>
</sst>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4" formatCode="_ &quot;₹&quot;\ * #,##0.00_ ;_ &quot;₹&quot;\ * \-#,##0.00_ ;_ &quot;₹&quot;\ * &quot;-&quot;??_ ;_ @_ "/>
    <numFmt numFmtId="43" formatCode="_ * #,##0.00_ ;_ * \-#,##0.00_ ;_ * &quot;-&quot;??_ ;_ @_ "/>
    <numFmt numFmtId="164" formatCode="_ * #,##0.000000_ ;_ * \-#,##0.000000_ ;_ * &quot;-&quot;??_ ;_ @_ "/>
  </numFmts>
  <fonts count="4" x14ac:knownFonts="1">
    <font>
      <sz val="11"/>
      <color theme="1"/>
      <name val="Calibri"/>
      <family val="2"/>
      <scheme val="minor"/>
    </font>
    <font>
      <sz val="11"/>
      <color theme="1"/>
      <name val="Calibri"/>
      <family val="2"/>
      <scheme val="minor"/>
    </font>
    <font>
      <sz val="11"/>
      <color theme="1"/>
      <name val="Arial"/>
      <family val="2"/>
    </font>
    <font>
      <b/>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7"/>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12">
    <xf numFmtId="0" fontId="0" fillId="0" borderId="0" xfId="0"/>
    <xf numFmtId="0" fontId="0" fillId="0" borderId="1" xfId="0" applyBorder="1" applyAlignment="1">
      <alignment wrapText="1"/>
    </xf>
    <xf numFmtId="0" fontId="0" fillId="0" borderId="1" xfId="0" applyFill="1" applyBorder="1" applyAlignment="1">
      <alignment wrapText="1"/>
    </xf>
    <xf numFmtId="0" fontId="0" fillId="2" borderId="1" xfId="0" applyFill="1" applyBorder="1" applyAlignment="1">
      <alignment wrapText="1"/>
    </xf>
    <xf numFmtId="0" fontId="0" fillId="0" borderId="0" xfId="0" applyAlignment="1">
      <alignment wrapText="1"/>
    </xf>
    <xf numFmtId="0" fontId="0" fillId="0" borderId="1" xfId="0" quotePrefix="1" applyBorder="1" applyAlignment="1">
      <alignment wrapText="1"/>
    </xf>
    <xf numFmtId="0" fontId="0" fillId="3" borderId="1" xfId="0" applyFill="1" applyBorder="1" applyAlignment="1">
      <alignment wrapText="1"/>
    </xf>
    <xf numFmtId="44" fontId="0" fillId="0" borderId="0" xfId="0" applyNumberFormat="1"/>
    <xf numFmtId="164" fontId="2" fillId="0" borderId="1" xfId="1" applyNumberFormat="1" applyFont="1" applyBorder="1"/>
    <xf numFmtId="164" fontId="0" fillId="0" borderId="0" xfId="0" applyNumberFormat="1"/>
    <xf numFmtId="0" fontId="0" fillId="4" borderId="1" xfId="0" applyFill="1" applyBorder="1" applyAlignment="1">
      <alignment wrapText="1"/>
    </xf>
    <xf numFmtId="0" fontId="0" fillId="0" borderId="0" xfId="0" applyAlignment="1">
      <alignment horizontal="center"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23813</xdr:colOff>
      <xdr:row>1</xdr:row>
      <xdr:rowOff>47625</xdr:rowOff>
    </xdr:from>
    <xdr:to>
      <xdr:col>16</xdr:col>
      <xdr:colOff>214312</xdr:colOff>
      <xdr:row>23</xdr:row>
      <xdr:rowOff>119062</xdr:rowOff>
    </xdr:to>
    <xdr:pic>
      <xdr:nvPicPr>
        <xdr:cNvPr id="2" name="Picture 1"/>
        <xdr:cNvPicPr>
          <a:picLocks noChangeAspect="1"/>
        </xdr:cNvPicPr>
      </xdr:nvPicPr>
      <xdr:blipFill>
        <a:blip xmlns:r="http://schemas.openxmlformats.org/officeDocument/2006/relationships" r:embed="rId1"/>
        <a:stretch>
          <a:fillRect/>
        </a:stretch>
      </xdr:blipFill>
      <xdr:spPr>
        <a:xfrm>
          <a:off x="23813" y="238125"/>
          <a:ext cx="10096499" cy="4262437"/>
        </a:xfrm>
        <a:prstGeom prst="rect">
          <a:avLst/>
        </a:prstGeom>
      </xdr:spPr>
    </xdr:pic>
    <xdr:clientData/>
  </xdr:twoCellAnchor>
  <xdr:twoCellAnchor editAs="oneCell">
    <xdr:from>
      <xdr:col>0</xdr:col>
      <xdr:colOff>115661</xdr:colOff>
      <xdr:row>25</xdr:row>
      <xdr:rowOff>93266</xdr:rowOff>
    </xdr:from>
    <xdr:to>
      <xdr:col>16</xdr:col>
      <xdr:colOff>420461</xdr:colOff>
      <xdr:row>43</xdr:row>
      <xdr:rowOff>146908</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661" y="4855766"/>
          <a:ext cx="10210800" cy="3482642"/>
        </a:xfrm>
        <a:prstGeom prst="rect">
          <a:avLst/>
        </a:prstGeom>
      </xdr:spPr>
    </xdr:pic>
    <xdr:clientData/>
  </xdr:twoCellAnchor>
  <xdr:twoCellAnchor editAs="oneCell">
    <xdr:from>
      <xdr:col>0</xdr:col>
      <xdr:colOff>0</xdr:colOff>
      <xdr:row>44</xdr:row>
      <xdr:rowOff>72864</xdr:rowOff>
    </xdr:from>
    <xdr:to>
      <xdr:col>16</xdr:col>
      <xdr:colOff>304800</xdr:colOff>
      <xdr:row>62</xdr:row>
      <xdr:rowOff>57986</xdr:rowOff>
    </xdr:to>
    <xdr:pic>
      <xdr:nvPicPr>
        <xdr:cNvPr id="4" name="Picture 3"/>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8454864"/>
          <a:ext cx="10210800" cy="3414122"/>
        </a:xfrm>
        <a:prstGeom prst="rect">
          <a:avLst/>
        </a:prstGeom>
      </xdr:spPr>
    </xdr:pic>
    <xdr:clientData/>
  </xdr:twoCellAnchor>
  <xdr:twoCellAnchor editAs="oneCell">
    <xdr:from>
      <xdr:col>0</xdr:col>
      <xdr:colOff>14250</xdr:colOff>
      <xdr:row>62</xdr:row>
      <xdr:rowOff>78242</xdr:rowOff>
    </xdr:from>
    <xdr:to>
      <xdr:col>16</xdr:col>
      <xdr:colOff>319050</xdr:colOff>
      <xdr:row>86</xdr:row>
      <xdr:rowOff>18477</xdr:rowOff>
    </xdr:to>
    <xdr:pic>
      <xdr:nvPicPr>
        <xdr:cNvPr id="5" name="Picture 4"/>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4250" y="11889242"/>
          <a:ext cx="10210800" cy="4512235"/>
        </a:xfrm>
        <a:prstGeom prst="rect">
          <a:avLst/>
        </a:prstGeom>
      </xdr:spPr>
    </xdr:pic>
    <xdr:clientData/>
  </xdr:twoCellAnchor>
  <xdr:twoCellAnchor editAs="oneCell">
    <xdr:from>
      <xdr:col>0</xdr:col>
      <xdr:colOff>0</xdr:colOff>
      <xdr:row>87</xdr:row>
      <xdr:rowOff>54428</xdr:rowOff>
    </xdr:from>
    <xdr:to>
      <xdr:col>16</xdr:col>
      <xdr:colOff>261257</xdr:colOff>
      <xdr:row>109</xdr:row>
      <xdr:rowOff>130264</xdr:rowOff>
    </xdr:to>
    <xdr:pic>
      <xdr:nvPicPr>
        <xdr:cNvPr id="6" name="Picture 5"/>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16627928"/>
          <a:ext cx="10167257" cy="5147899"/>
        </a:xfrm>
        <a:prstGeom prst="rect">
          <a:avLst/>
        </a:prstGeom>
      </xdr:spPr>
    </xdr:pic>
    <xdr:clientData/>
  </xdr:twoCellAnchor>
  <xdr:twoCellAnchor editAs="oneCell">
    <xdr:from>
      <xdr:col>0</xdr:col>
      <xdr:colOff>61233</xdr:colOff>
      <xdr:row>136</xdr:row>
      <xdr:rowOff>102695</xdr:rowOff>
    </xdr:from>
    <xdr:to>
      <xdr:col>16</xdr:col>
      <xdr:colOff>322490</xdr:colOff>
      <xdr:row>161</xdr:row>
      <xdr:rowOff>156479</xdr:rowOff>
    </xdr:to>
    <xdr:pic>
      <xdr:nvPicPr>
        <xdr:cNvPr id="8" name="Picture 7"/>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1233" y="26891758"/>
          <a:ext cx="10167257" cy="4816284"/>
        </a:xfrm>
        <a:prstGeom prst="rect">
          <a:avLst/>
        </a:prstGeom>
      </xdr:spPr>
    </xdr:pic>
    <xdr:clientData/>
  </xdr:twoCellAnchor>
  <xdr:twoCellAnchor editAs="oneCell">
    <xdr:from>
      <xdr:col>0</xdr:col>
      <xdr:colOff>71437</xdr:colOff>
      <xdr:row>111</xdr:row>
      <xdr:rowOff>58795</xdr:rowOff>
    </xdr:from>
    <xdr:to>
      <xdr:col>16</xdr:col>
      <xdr:colOff>332694</xdr:colOff>
      <xdr:row>133</xdr:row>
      <xdr:rowOff>86735</xdr:rowOff>
    </xdr:to>
    <xdr:pic>
      <xdr:nvPicPr>
        <xdr:cNvPr id="9" name="Picture 8"/>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71437" y="22085358"/>
          <a:ext cx="10167257" cy="4218940"/>
        </a:xfrm>
        <a:prstGeom prst="rect">
          <a:avLst/>
        </a:prstGeom>
      </xdr:spPr>
    </xdr:pic>
    <xdr:clientData/>
  </xdr:twoCellAnchor>
  <xdr:twoCellAnchor editAs="oneCell">
    <xdr:from>
      <xdr:col>0</xdr:col>
      <xdr:colOff>11206</xdr:colOff>
      <xdr:row>163</xdr:row>
      <xdr:rowOff>161085</xdr:rowOff>
    </xdr:from>
    <xdr:to>
      <xdr:col>16</xdr:col>
      <xdr:colOff>163606</xdr:colOff>
      <xdr:row>186</xdr:row>
      <xdr:rowOff>127454</xdr:rowOff>
    </xdr:to>
    <xdr:pic>
      <xdr:nvPicPr>
        <xdr:cNvPr id="7" name="Picture 6"/>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1206" y="32086644"/>
          <a:ext cx="9834282" cy="4347869"/>
        </a:xfrm>
        <a:prstGeom prst="rect">
          <a:avLst/>
        </a:prstGeom>
      </xdr:spPr>
    </xdr:pic>
    <xdr:clientData/>
  </xdr:twoCellAnchor>
  <xdr:twoCellAnchor editAs="oneCell">
    <xdr:from>
      <xdr:col>0</xdr:col>
      <xdr:colOff>0</xdr:colOff>
      <xdr:row>188</xdr:row>
      <xdr:rowOff>168088</xdr:rowOff>
    </xdr:from>
    <xdr:to>
      <xdr:col>17</xdr:col>
      <xdr:colOff>1121</xdr:colOff>
      <xdr:row>210</xdr:row>
      <xdr:rowOff>167425</xdr:rowOff>
    </xdr:to>
    <xdr:pic>
      <xdr:nvPicPr>
        <xdr:cNvPr id="10" name="Picture 9"/>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0" y="36856147"/>
          <a:ext cx="10288121" cy="4190337"/>
        </a:xfrm>
        <a:prstGeom prst="rect">
          <a:avLst/>
        </a:prstGeom>
      </xdr:spPr>
    </xdr:pic>
    <xdr:clientData/>
  </xdr:twoCellAnchor>
  <xdr:twoCellAnchor editAs="oneCell">
    <xdr:from>
      <xdr:col>0</xdr:col>
      <xdr:colOff>11206</xdr:colOff>
      <xdr:row>212</xdr:row>
      <xdr:rowOff>22412</xdr:rowOff>
    </xdr:from>
    <xdr:to>
      <xdr:col>17</xdr:col>
      <xdr:colOff>22412</xdr:colOff>
      <xdr:row>235</xdr:row>
      <xdr:rowOff>84264</xdr:rowOff>
    </xdr:to>
    <xdr:pic>
      <xdr:nvPicPr>
        <xdr:cNvPr id="11" name="Picture 10"/>
        <xdr:cNvPicPr>
          <a:picLocks noChangeAspect="1"/>
        </xdr:cNvPicPr>
      </xdr:nvPicPr>
      <xdr:blipFill>
        <a:blip xmlns:r="http://schemas.openxmlformats.org/officeDocument/2006/relationships" r:embed="rId10"/>
        <a:stretch>
          <a:fillRect/>
        </a:stretch>
      </xdr:blipFill>
      <xdr:spPr>
        <a:xfrm>
          <a:off x="11206" y="41282471"/>
          <a:ext cx="10298206" cy="4443352"/>
        </a:xfrm>
        <a:prstGeom prst="rect">
          <a:avLst/>
        </a:prstGeom>
      </xdr:spPr>
    </xdr:pic>
    <xdr:clientData/>
  </xdr:twoCellAnchor>
  <xdr:twoCellAnchor editAs="oneCell">
    <xdr:from>
      <xdr:col>0</xdr:col>
      <xdr:colOff>0</xdr:colOff>
      <xdr:row>237</xdr:row>
      <xdr:rowOff>112059</xdr:rowOff>
    </xdr:from>
    <xdr:to>
      <xdr:col>17</xdr:col>
      <xdr:colOff>56028</xdr:colOff>
      <xdr:row>270</xdr:row>
      <xdr:rowOff>112059</xdr:rowOff>
    </xdr:to>
    <xdr:pic>
      <xdr:nvPicPr>
        <xdr:cNvPr id="12" name="Picture 11"/>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0" y="46134618"/>
          <a:ext cx="10343028" cy="6286500"/>
        </a:xfrm>
        <a:prstGeom prst="rect">
          <a:avLst/>
        </a:prstGeom>
      </xdr:spPr>
    </xdr:pic>
    <xdr:clientData/>
  </xdr:twoCellAnchor>
  <xdr:twoCellAnchor editAs="oneCell">
    <xdr:from>
      <xdr:col>0</xdr:col>
      <xdr:colOff>179295</xdr:colOff>
      <xdr:row>271</xdr:row>
      <xdr:rowOff>134470</xdr:rowOff>
    </xdr:from>
    <xdr:to>
      <xdr:col>12</xdr:col>
      <xdr:colOff>586578</xdr:colOff>
      <xdr:row>308</xdr:row>
      <xdr:rowOff>59243</xdr:rowOff>
    </xdr:to>
    <xdr:pic>
      <xdr:nvPicPr>
        <xdr:cNvPr id="13" name="Picture 12"/>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79295" y="52634029"/>
          <a:ext cx="7668695" cy="697327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9"/>
  <sheetViews>
    <sheetView tabSelected="1" topLeftCell="A32" zoomScaleNormal="100" workbookViewId="0">
      <selection activeCell="B47" sqref="B45:B47"/>
    </sheetView>
  </sheetViews>
  <sheetFormatPr defaultRowHeight="15" x14ac:dyDescent="0.25"/>
  <cols>
    <col min="1" max="1" width="5.42578125" style="4" bestFit="1" customWidth="1"/>
    <col min="2" max="2" width="90" style="4" customWidth="1"/>
    <col min="3" max="3" width="57.5703125" style="4" bestFit="1" customWidth="1"/>
    <col min="4" max="4" width="9.7109375" style="4" bestFit="1" customWidth="1"/>
    <col min="5" max="5" width="7.85546875" style="4" bestFit="1" customWidth="1"/>
    <col min="6" max="16384" width="9.140625" style="4"/>
  </cols>
  <sheetData>
    <row r="1" spans="1:5" ht="30" x14ac:dyDescent="0.25">
      <c r="A1" s="3" t="s">
        <v>0</v>
      </c>
      <c r="B1" s="3" t="s">
        <v>1</v>
      </c>
      <c r="C1" s="3" t="s">
        <v>17</v>
      </c>
      <c r="D1" s="10" t="s">
        <v>53</v>
      </c>
      <c r="E1" s="3" t="s">
        <v>2</v>
      </c>
    </row>
    <row r="2" spans="1:5" x14ac:dyDescent="0.25">
      <c r="A2" s="1">
        <v>1</v>
      </c>
      <c r="B2" s="1" t="s">
        <v>11</v>
      </c>
      <c r="C2" s="1"/>
      <c r="D2" s="1"/>
      <c r="E2" s="6" t="s">
        <v>19</v>
      </c>
    </row>
    <row r="3" spans="1:5" x14ac:dyDescent="0.25">
      <c r="A3" s="1">
        <v>2</v>
      </c>
      <c r="B3" s="1" t="s">
        <v>12</v>
      </c>
      <c r="C3" s="1"/>
      <c r="D3" s="1"/>
      <c r="E3" s="6" t="s">
        <v>19</v>
      </c>
    </row>
    <row r="4" spans="1:5" ht="32.25" customHeight="1" x14ac:dyDescent="0.25">
      <c r="A4" s="1">
        <v>3</v>
      </c>
      <c r="B4" s="1" t="s">
        <v>3</v>
      </c>
      <c r="C4" s="1" t="s">
        <v>25</v>
      </c>
      <c r="D4" s="1"/>
      <c r="E4" s="6" t="s">
        <v>19</v>
      </c>
    </row>
    <row r="5" spans="1:5" ht="30" x14ac:dyDescent="0.25">
      <c r="A5" s="1">
        <v>4</v>
      </c>
      <c r="B5" s="1" t="s">
        <v>13</v>
      </c>
      <c r="C5" s="1" t="s">
        <v>29</v>
      </c>
      <c r="D5" s="1"/>
      <c r="E5" s="6" t="s">
        <v>19</v>
      </c>
    </row>
    <row r="6" spans="1:5" ht="30" x14ac:dyDescent="0.25">
      <c r="A6" s="1">
        <v>5</v>
      </c>
      <c r="B6" s="1" t="s">
        <v>7</v>
      </c>
      <c r="C6" s="1" t="s">
        <v>21</v>
      </c>
      <c r="D6" s="1"/>
      <c r="E6" s="1" t="s">
        <v>19</v>
      </c>
    </row>
    <row r="7" spans="1:5" x14ac:dyDescent="0.25">
      <c r="A7" s="1">
        <v>6</v>
      </c>
      <c r="B7" s="1" t="s">
        <v>8</v>
      </c>
      <c r="C7" s="1"/>
      <c r="D7" s="1"/>
      <c r="E7" s="1" t="s">
        <v>19</v>
      </c>
    </row>
    <row r="8" spans="1:5" x14ac:dyDescent="0.25">
      <c r="A8" s="1">
        <v>7</v>
      </c>
      <c r="B8" s="1" t="s">
        <v>6</v>
      </c>
      <c r="C8" s="1"/>
      <c r="D8" s="1"/>
      <c r="E8" s="1" t="s">
        <v>19</v>
      </c>
    </row>
    <row r="9" spans="1:5" ht="30" x14ac:dyDescent="0.25">
      <c r="A9" s="1">
        <v>8</v>
      </c>
      <c r="B9" s="1" t="s">
        <v>5</v>
      </c>
      <c r="C9" s="1"/>
      <c r="D9" s="1"/>
      <c r="E9" s="1" t="s">
        <v>19</v>
      </c>
    </row>
    <row r="10" spans="1:5" x14ac:dyDescent="0.25">
      <c r="A10" s="1">
        <v>9</v>
      </c>
      <c r="B10" s="1" t="s">
        <v>4</v>
      </c>
      <c r="C10" s="1"/>
      <c r="D10" s="1"/>
      <c r="E10" s="1" t="s">
        <v>19</v>
      </c>
    </row>
    <row r="11" spans="1:5" x14ac:dyDescent="0.25">
      <c r="A11" s="1">
        <v>10</v>
      </c>
      <c r="B11" s="1" t="s">
        <v>9</v>
      </c>
      <c r="C11" s="1"/>
      <c r="D11" s="1"/>
      <c r="E11" s="5"/>
    </row>
    <row r="12" spans="1:5" ht="30" x14ac:dyDescent="0.25">
      <c r="A12" s="1">
        <v>11</v>
      </c>
      <c r="B12" s="1" t="s">
        <v>10</v>
      </c>
      <c r="C12" s="1"/>
      <c r="D12" s="1"/>
      <c r="E12" s="1" t="s">
        <v>34</v>
      </c>
    </row>
    <row r="13" spans="1:5" ht="90" x14ac:dyDescent="0.25">
      <c r="A13" s="1">
        <v>12</v>
      </c>
      <c r="B13" s="1" t="s">
        <v>14</v>
      </c>
      <c r="C13" s="1" t="s">
        <v>22</v>
      </c>
      <c r="D13" s="1"/>
      <c r="E13" s="6" t="s">
        <v>19</v>
      </c>
    </row>
    <row r="14" spans="1:5" ht="30" x14ac:dyDescent="0.25">
      <c r="A14" s="1">
        <v>13</v>
      </c>
      <c r="B14" s="1" t="s">
        <v>16</v>
      </c>
      <c r="C14" s="1" t="s">
        <v>29</v>
      </c>
      <c r="D14" s="1"/>
      <c r="E14" s="6" t="s">
        <v>19</v>
      </c>
    </row>
    <row r="15" spans="1:5" x14ac:dyDescent="0.25">
      <c r="A15" s="1">
        <v>14</v>
      </c>
      <c r="B15" s="1" t="s">
        <v>18</v>
      </c>
      <c r="C15" s="1"/>
      <c r="D15" s="1" t="s">
        <v>23</v>
      </c>
      <c r="E15" s="6" t="s">
        <v>19</v>
      </c>
    </row>
    <row r="16" spans="1:5" ht="45" x14ac:dyDescent="0.25">
      <c r="A16" s="1">
        <v>15</v>
      </c>
      <c r="B16" s="2" t="s">
        <v>24</v>
      </c>
      <c r="C16" s="1" t="s">
        <v>30</v>
      </c>
      <c r="D16" s="1"/>
      <c r="E16" s="6" t="s">
        <v>19</v>
      </c>
    </row>
    <row r="17" spans="1:5" x14ac:dyDescent="0.25">
      <c r="A17" s="1">
        <v>16</v>
      </c>
      <c r="B17" s="1" t="s">
        <v>20</v>
      </c>
      <c r="C17" s="1" t="s">
        <v>32</v>
      </c>
      <c r="D17" s="1"/>
      <c r="E17" s="6" t="s">
        <v>19</v>
      </c>
    </row>
    <row r="18" spans="1:5" ht="30" x14ac:dyDescent="0.25">
      <c r="A18" s="1">
        <v>17</v>
      </c>
      <c r="B18" s="1" t="s">
        <v>26</v>
      </c>
      <c r="C18" s="1"/>
      <c r="D18" s="1"/>
      <c r="E18" s="6" t="s">
        <v>19</v>
      </c>
    </row>
    <row r="19" spans="1:5" ht="30" x14ac:dyDescent="0.25">
      <c r="A19" s="1">
        <v>18</v>
      </c>
      <c r="B19" s="1" t="s">
        <v>27</v>
      </c>
      <c r="C19" s="1" t="s">
        <v>28</v>
      </c>
      <c r="D19" s="1"/>
      <c r="E19" s="6" t="s">
        <v>19</v>
      </c>
    </row>
    <row r="20" spans="1:5" ht="30" x14ac:dyDescent="0.25">
      <c r="A20" s="1">
        <v>19</v>
      </c>
      <c r="B20" s="1" t="s">
        <v>31</v>
      </c>
      <c r="C20" s="1" t="s">
        <v>33</v>
      </c>
      <c r="D20" s="1" t="s">
        <v>23</v>
      </c>
      <c r="E20" s="6" t="s">
        <v>19</v>
      </c>
    </row>
    <row r="21" spans="1:5" ht="30" x14ac:dyDescent="0.25">
      <c r="A21" s="1">
        <v>20</v>
      </c>
      <c r="B21" s="1" t="s">
        <v>35</v>
      </c>
      <c r="C21" s="1"/>
      <c r="D21" s="1"/>
      <c r="E21" s="1" t="s">
        <v>19</v>
      </c>
    </row>
    <row r="22" spans="1:5" ht="30" x14ac:dyDescent="0.25">
      <c r="A22" s="1">
        <v>21</v>
      </c>
      <c r="B22" s="1" t="s">
        <v>37</v>
      </c>
      <c r="C22" s="1" t="s">
        <v>36</v>
      </c>
      <c r="D22" s="1"/>
      <c r="E22" s="1" t="s">
        <v>34</v>
      </c>
    </row>
    <row r="23" spans="1:5" ht="45" x14ac:dyDescent="0.25">
      <c r="A23" s="1">
        <v>22</v>
      </c>
      <c r="B23" s="1" t="s">
        <v>40</v>
      </c>
      <c r="C23" s="1" t="s">
        <v>41</v>
      </c>
      <c r="D23" s="1" t="s">
        <v>52</v>
      </c>
      <c r="E23" s="1" t="s">
        <v>34</v>
      </c>
    </row>
    <row r="24" spans="1:5" ht="30" x14ac:dyDescent="0.25">
      <c r="A24" s="1">
        <v>23</v>
      </c>
      <c r="B24" s="1" t="s">
        <v>50</v>
      </c>
      <c r="C24" s="1"/>
      <c r="D24" s="1" t="s">
        <v>23</v>
      </c>
      <c r="E24" s="1" t="s">
        <v>19</v>
      </c>
    </row>
    <row r="25" spans="1:5" ht="30" x14ac:dyDescent="0.25">
      <c r="A25" s="1">
        <v>24</v>
      </c>
      <c r="B25" s="1" t="s">
        <v>42</v>
      </c>
      <c r="C25" s="1" t="s">
        <v>49</v>
      </c>
      <c r="D25" s="1" t="s">
        <v>23</v>
      </c>
      <c r="E25" s="1" t="s">
        <v>34</v>
      </c>
    </row>
    <row r="26" spans="1:5" x14ac:dyDescent="0.25">
      <c r="A26" s="1">
        <v>25</v>
      </c>
      <c r="B26" s="1" t="s">
        <v>38</v>
      </c>
      <c r="C26" s="1" t="s">
        <v>49</v>
      </c>
      <c r="D26" s="1" t="s">
        <v>23</v>
      </c>
      <c r="E26" s="1" t="s">
        <v>19</v>
      </c>
    </row>
    <row r="27" spans="1:5" ht="180" x14ac:dyDescent="0.25">
      <c r="A27" s="1">
        <v>26</v>
      </c>
      <c r="B27" s="1" t="s">
        <v>44</v>
      </c>
      <c r="C27" s="1" t="s">
        <v>49</v>
      </c>
      <c r="D27" s="1" t="s">
        <v>23</v>
      </c>
      <c r="E27" s="1" t="s">
        <v>19</v>
      </c>
    </row>
    <row r="28" spans="1:5" ht="45" x14ac:dyDescent="0.25">
      <c r="A28" s="1">
        <v>27</v>
      </c>
      <c r="B28" s="1" t="s">
        <v>43</v>
      </c>
      <c r="C28" s="1" t="s">
        <v>49</v>
      </c>
      <c r="D28" s="1" t="s">
        <v>23</v>
      </c>
      <c r="E28" s="1" t="s">
        <v>19</v>
      </c>
    </row>
    <row r="29" spans="1:5" ht="30" x14ac:dyDescent="0.25">
      <c r="A29" s="1">
        <v>28</v>
      </c>
      <c r="B29" s="1" t="s">
        <v>51</v>
      </c>
      <c r="C29" s="1" t="s">
        <v>49</v>
      </c>
      <c r="D29" s="1" t="s">
        <v>23</v>
      </c>
      <c r="E29" s="1" t="s">
        <v>19</v>
      </c>
    </row>
    <row r="30" spans="1:5" ht="45" x14ac:dyDescent="0.25">
      <c r="A30" s="1">
        <v>29</v>
      </c>
      <c r="B30" s="1" t="s">
        <v>45</v>
      </c>
      <c r="C30" s="1" t="s">
        <v>49</v>
      </c>
      <c r="D30" s="1" t="s">
        <v>23</v>
      </c>
      <c r="E30" s="1" t="s">
        <v>19</v>
      </c>
    </row>
    <row r="31" spans="1:5" x14ac:dyDescent="0.25">
      <c r="A31" s="1">
        <v>30</v>
      </c>
      <c r="B31" s="1" t="s">
        <v>39</v>
      </c>
      <c r="C31" s="1" t="s">
        <v>49</v>
      </c>
      <c r="D31" s="1" t="s">
        <v>23</v>
      </c>
      <c r="E31" s="1" t="s">
        <v>19</v>
      </c>
    </row>
    <row r="32" spans="1:5" x14ac:dyDescent="0.25">
      <c r="A32" s="1">
        <v>31</v>
      </c>
      <c r="B32" s="1" t="s">
        <v>46</v>
      </c>
      <c r="C32" s="1" t="s">
        <v>49</v>
      </c>
      <c r="D32" s="1" t="s">
        <v>23</v>
      </c>
      <c r="E32" s="1" t="s">
        <v>19</v>
      </c>
    </row>
    <row r="33" spans="1:5" ht="30" x14ac:dyDescent="0.25">
      <c r="A33" s="1">
        <v>32</v>
      </c>
      <c r="B33" s="1" t="s">
        <v>47</v>
      </c>
      <c r="C33" s="1" t="s">
        <v>48</v>
      </c>
      <c r="D33" s="1" t="s">
        <v>52</v>
      </c>
      <c r="E33" s="1" t="s">
        <v>19</v>
      </c>
    </row>
    <row r="34" spans="1:5" ht="30" x14ac:dyDescent="0.25">
      <c r="A34" s="1">
        <v>33</v>
      </c>
      <c r="B34" s="1" t="s">
        <v>58</v>
      </c>
      <c r="C34" s="1"/>
      <c r="D34" s="1"/>
      <c r="E34" s="1" t="s">
        <v>15</v>
      </c>
    </row>
    <row r="35" spans="1:5" x14ac:dyDescent="0.25">
      <c r="A35" s="1">
        <v>34</v>
      </c>
      <c r="B35" s="1" t="s">
        <v>56</v>
      </c>
      <c r="C35" s="1"/>
      <c r="D35" s="1"/>
      <c r="E35" s="1" t="s">
        <v>15</v>
      </c>
    </row>
    <row r="36" spans="1:5" x14ac:dyDescent="0.25">
      <c r="A36" s="1">
        <v>35</v>
      </c>
      <c r="B36" s="1" t="s">
        <v>55</v>
      </c>
      <c r="C36" s="1"/>
      <c r="D36" s="1"/>
      <c r="E36" s="1" t="s">
        <v>15</v>
      </c>
    </row>
    <row r="37" spans="1:5" ht="30" x14ac:dyDescent="0.25">
      <c r="A37" s="1">
        <v>36</v>
      </c>
      <c r="B37" s="1" t="s">
        <v>54</v>
      </c>
      <c r="C37" s="1"/>
      <c r="D37" s="1"/>
      <c r="E37" s="1" t="s">
        <v>15</v>
      </c>
    </row>
    <row r="38" spans="1:5" x14ac:dyDescent="0.25">
      <c r="A38" s="1">
        <v>37</v>
      </c>
      <c r="B38" s="1" t="s">
        <v>62</v>
      </c>
      <c r="C38" s="1"/>
      <c r="D38" s="1"/>
      <c r="E38" s="1" t="s">
        <v>15</v>
      </c>
    </row>
    <row r="39" spans="1:5" x14ac:dyDescent="0.25">
      <c r="A39" s="1">
        <v>38</v>
      </c>
      <c r="B39" s="1" t="s">
        <v>63</v>
      </c>
      <c r="C39" s="1"/>
      <c r="D39" s="1"/>
      <c r="E39" s="1" t="s">
        <v>15</v>
      </c>
    </row>
    <row r="40" spans="1:5" x14ac:dyDescent="0.25">
      <c r="A40" s="1">
        <v>39</v>
      </c>
      <c r="B40" s="1" t="s">
        <v>65</v>
      </c>
      <c r="C40" s="1"/>
      <c r="D40" s="1"/>
      <c r="E40" s="1" t="s">
        <v>15</v>
      </c>
    </row>
    <row r="41" spans="1:5" x14ac:dyDescent="0.25">
      <c r="A41" s="1">
        <v>40</v>
      </c>
      <c r="B41" s="1" t="s">
        <v>57</v>
      </c>
      <c r="C41" s="1"/>
      <c r="D41" s="1"/>
      <c r="E41" s="1" t="s">
        <v>15</v>
      </c>
    </row>
    <row r="42" spans="1:5" ht="30" x14ac:dyDescent="0.25">
      <c r="A42" s="1">
        <v>41</v>
      </c>
      <c r="B42" s="1" t="s">
        <v>60</v>
      </c>
      <c r="C42" s="1"/>
      <c r="D42" s="1"/>
      <c r="E42" s="1" t="s">
        <v>15</v>
      </c>
    </row>
    <row r="43" spans="1:5" x14ac:dyDescent="0.25">
      <c r="A43" s="1">
        <v>42</v>
      </c>
      <c r="B43" s="1" t="s">
        <v>67</v>
      </c>
      <c r="C43" s="1"/>
      <c r="D43" s="1"/>
      <c r="E43" s="1" t="s">
        <v>15</v>
      </c>
    </row>
    <row r="44" spans="1:5" x14ac:dyDescent="0.25">
      <c r="A44" s="1">
        <v>43</v>
      </c>
      <c r="B44" s="1" t="s">
        <v>59</v>
      </c>
      <c r="C44" s="1"/>
      <c r="D44" s="1"/>
      <c r="E44" s="1" t="s">
        <v>15</v>
      </c>
    </row>
    <row r="45" spans="1:5" ht="30" x14ac:dyDescent="0.25">
      <c r="A45" s="1">
        <v>44</v>
      </c>
      <c r="B45" s="1" t="s">
        <v>61</v>
      </c>
      <c r="C45" s="1"/>
      <c r="D45" s="1"/>
      <c r="E45" s="1" t="s">
        <v>15</v>
      </c>
    </row>
    <row r="46" spans="1:5" ht="30" x14ac:dyDescent="0.25">
      <c r="A46" s="1">
        <v>45</v>
      </c>
      <c r="B46" s="1" t="s">
        <v>64</v>
      </c>
      <c r="C46" s="1"/>
      <c r="D46" s="1"/>
      <c r="E46" s="1" t="s">
        <v>15</v>
      </c>
    </row>
    <row r="47" spans="1:5" x14ac:dyDescent="0.25">
      <c r="A47" s="1">
        <v>46</v>
      </c>
      <c r="B47" s="1" t="s">
        <v>66</v>
      </c>
      <c r="C47" s="1"/>
      <c r="D47" s="1"/>
      <c r="E47" s="1"/>
    </row>
    <row r="48" spans="1:5" x14ac:dyDescent="0.25">
      <c r="A48" s="1"/>
      <c r="B48" s="1"/>
      <c r="C48" s="1"/>
      <c r="D48" s="1"/>
      <c r="E48" s="1"/>
    </row>
    <row r="49" spans="1:5" x14ac:dyDescent="0.25">
      <c r="A49" s="1"/>
      <c r="B49" s="1"/>
      <c r="C49" s="1"/>
      <c r="D49" s="1"/>
      <c r="E49" s="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N91:R290"/>
  <sheetViews>
    <sheetView topLeftCell="A274" zoomScale="85" zoomScaleNormal="85" workbookViewId="0">
      <selection activeCell="N290" sqref="N290"/>
    </sheetView>
  </sheetViews>
  <sheetFormatPr defaultRowHeight="15" x14ac:dyDescent="0.25"/>
  <cols>
    <col min="18" max="18" width="62" customWidth="1"/>
  </cols>
  <sheetData>
    <row r="91" spans="18:18" ht="84" customHeight="1" x14ac:dyDescent="0.25">
      <c r="R91" s="1"/>
    </row>
    <row r="169" spans="18:18" x14ac:dyDescent="0.25">
      <c r="R169" s="11">
        <v>17</v>
      </c>
    </row>
    <row r="170" spans="18:18" x14ac:dyDescent="0.25">
      <c r="R170" s="11"/>
    </row>
    <row r="171" spans="18:18" x14ac:dyDescent="0.25">
      <c r="R171" s="11"/>
    </row>
    <row r="172" spans="18:18" x14ac:dyDescent="0.25">
      <c r="R172" s="11"/>
    </row>
    <row r="173" spans="18:18" x14ac:dyDescent="0.25">
      <c r="R173" s="11"/>
    </row>
    <row r="174" spans="18:18" x14ac:dyDescent="0.25">
      <c r="R174" s="11"/>
    </row>
    <row r="175" spans="18:18" x14ac:dyDescent="0.25">
      <c r="R175" s="11"/>
    </row>
    <row r="176" spans="18:18" x14ac:dyDescent="0.25">
      <c r="R176" s="11"/>
    </row>
    <row r="177" spans="18:18" x14ac:dyDescent="0.25">
      <c r="R177" s="11"/>
    </row>
    <row r="178" spans="18:18" x14ac:dyDescent="0.25">
      <c r="R178" s="11"/>
    </row>
    <row r="179" spans="18:18" x14ac:dyDescent="0.25">
      <c r="R179" s="11"/>
    </row>
    <row r="180" spans="18:18" x14ac:dyDescent="0.25">
      <c r="R180" s="11"/>
    </row>
    <row r="181" spans="18:18" x14ac:dyDescent="0.25">
      <c r="R181" s="11"/>
    </row>
    <row r="191" spans="18:18" x14ac:dyDescent="0.25">
      <c r="R191" s="11">
        <v>18</v>
      </c>
    </row>
    <row r="192" spans="18:18" x14ac:dyDescent="0.25">
      <c r="R192" s="11"/>
    </row>
    <row r="193" spans="18:18" x14ac:dyDescent="0.25">
      <c r="R193" s="11"/>
    </row>
    <row r="194" spans="18:18" x14ac:dyDescent="0.25">
      <c r="R194" s="11"/>
    </row>
    <row r="195" spans="18:18" x14ac:dyDescent="0.25">
      <c r="R195" s="11"/>
    </row>
    <row r="196" spans="18:18" x14ac:dyDescent="0.25">
      <c r="R196" s="11"/>
    </row>
    <row r="197" spans="18:18" x14ac:dyDescent="0.25">
      <c r="R197" s="11"/>
    </row>
    <row r="198" spans="18:18" x14ac:dyDescent="0.25">
      <c r="R198" s="11"/>
    </row>
    <row r="199" spans="18:18" x14ac:dyDescent="0.25">
      <c r="R199" s="11"/>
    </row>
    <row r="200" spans="18:18" x14ac:dyDescent="0.25">
      <c r="R200" s="11"/>
    </row>
    <row r="201" spans="18:18" x14ac:dyDescent="0.25">
      <c r="R201" s="11"/>
    </row>
    <row r="202" spans="18:18" x14ac:dyDescent="0.25">
      <c r="R202" s="11"/>
    </row>
    <row r="203" spans="18:18" x14ac:dyDescent="0.25">
      <c r="R203" s="11"/>
    </row>
    <row r="204" spans="18:18" x14ac:dyDescent="0.25">
      <c r="R204" s="11"/>
    </row>
    <row r="205" spans="18:18" x14ac:dyDescent="0.25">
      <c r="R205" s="11"/>
    </row>
    <row r="206" spans="18:18" x14ac:dyDescent="0.25">
      <c r="R206" s="11"/>
    </row>
    <row r="207" spans="18:18" x14ac:dyDescent="0.25">
      <c r="R207" s="11"/>
    </row>
    <row r="290" spans="14:14" x14ac:dyDescent="0.25">
      <c r="N290">
        <v>44</v>
      </c>
    </row>
  </sheetData>
  <mergeCells count="2">
    <mergeCell ref="R169:R181"/>
    <mergeCell ref="R191:R20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16:K19"/>
  <sheetViews>
    <sheetView topLeftCell="A7" workbookViewId="0">
      <selection activeCell="I12" sqref="I12"/>
    </sheetView>
  </sheetViews>
  <sheetFormatPr defaultRowHeight="15" x14ac:dyDescent="0.25"/>
  <cols>
    <col min="7" max="7" width="16" bestFit="1" customWidth="1"/>
    <col min="8" max="9" width="14.85546875" bestFit="1" customWidth="1"/>
    <col min="10" max="10" width="11.85546875" bestFit="1" customWidth="1"/>
    <col min="11" max="11" width="14.140625" bestFit="1" customWidth="1"/>
  </cols>
  <sheetData>
    <row r="16" spans="7:11" x14ac:dyDescent="0.25">
      <c r="G16">
        <v>14753.41</v>
      </c>
      <c r="H16">
        <v>1844.18</v>
      </c>
      <c r="I16">
        <v>1770.41</v>
      </c>
      <c r="J16">
        <v>29.51</v>
      </c>
      <c r="K16">
        <f>SUM(G16:J16)</f>
        <v>18397.509999999998</v>
      </c>
    </row>
    <row r="17" spans="7:11" x14ac:dyDescent="0.25">
      <c r="G17" s="7"/>
      <c r="H17" s="7"/>
      <c r="I17" s="7"/>
      <c r="J17" s="7"/>
    </row>
    <row r="19" spans="7:11" x14ac:dyDescent="0.25">
      <c r="G19" s="8">
        <v>14753.41</v>
      </c>
      <c r="H19" s="8">
        <f t="shared" ref="H19" si="0">G19*12.5%</f>
        <v>1844.17625</v>
      </c>
      <c r="I19" s="8">
        <f t="shared" ref="I19" si="1">G19*12%</f>
        <v>1770.4091999999998</v>
      </c>
      <c r="J19" s="8">
        <f t="shared" ref="J19" si="2">G19*0.2%</f>
        <v>29.506820000000001</v>
      </c>
      <c r="K19" s="9">
        <f>SUM(G19:J19)</f>
        <v>18397.502269999997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Issue-Updated</vt:lpstr>
      <vt:lpstr>Screen shot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 Raj. R</dc:creator>
  <cp:lastModifiedBy>Ravi Raj. R</cp:lastModifiedBy>
  <dcterms:created xsi:type="dcterms:W3CDTF">2025-02-05T10:18:47Z</dcterms:created>
  <dcterms:modified xsi:type="dcterms:W3CDTF">2025-03-12T06:27:16Z</dcterms:modified>
</cp:coreProperties>
</file>