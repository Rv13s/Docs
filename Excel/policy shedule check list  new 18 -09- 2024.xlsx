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1600" windowHeight="9000" activeTab="2"/>
  </bookViews>
  <sheets>
    <sheet name="Sheet1" sheetId="1" r:id="rId1"/>
    <sheet name="Sheet2" sheetId="2" r:id="rId2"/>
    <sheet name="Sheet5" sheetId="5" r:id="rId3"/>
  </sheets>
  <definedNames>
    <definedName name="_xlnm._FilterDatabase" localSheetId="2" hidden="1">Sheet5!$D$1:$D$95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2" l="1"/>
  <c r="G5" i="2"/>
  <c r="G6" i="2"/>
  <c r="G8" i="2"/>
  <c r="D9" i="2"/>
  <c r="D10" i="2"/>
  <c r="D8" i="2"/>
  <c r="D7" i="2"/>
  <c r="D6" i="2"/>
  <c r="D5" i="2"/>
  <c r="D4" i="2"/>
  <c r="F4" i="2" s="1"/>
  <c r="G4" i="2" s="1"/>
  <c r="D3" i="2"/>
  <c r="F3" i="2" s="1"/>
  <c r="G3" i="2" l="1"/>
  <c r="F7" i="2"/>
  <c r="G7" i="2" s="1"/>
  <c r="G9" i="2" l="1"/>
  <c r="G10" i="2" l="1"/>
  <c r="G11" i="2" l="1"/>
  <c r="G12" i="2" s="1"/>
  <c r="G15" i="2" s="1"/>
  <c r="G16" i="2" l="1"/>
  <c r="G17" i="2"/>
</calcChain>
</file>

<file path=xl/sharedStrings.xml><?xml version="1.0" encoding="utf-8"?>
<sst xmlns="http://schemas.openxmlformats.org/spreadsheetml/2006/main" count="504" uniqueCount="112">
  <si>
    <t>IPA</t>
  </si>
  <si>
    <t>Term</t>
  </si>
  <si>
    <t>Member count</t>
  </si>
  <si>
    <t>Policy Number</t>
  </si>
  <si>
    <t>Cover details</t>
  </si>
  <si>
    <t>NA</t>
  </si>
  <si>
    <t>YES - 2</t>
  </si>
  <si>
    <t>YES - all</t>
  </si>
  <si>
    <t>ENDIX</t>
  </si>
  <si>
    <t>421010/49/25/000040</t>
  </si>
  <si>
    <t>421010/49/25/000041</t>
  </si>
  <si>
    <t>421010/49/25/000042</t>
  </si>
  <si>
    <t>421010/49/25/000043</t>
  </si>
  <si>
    <t>421010/49/25/000044</t>
  </si>
  <si>
    <t>421010/49/25/000045</t>
  </si>
  <si>
    <t>421010/49/25/000046</t>
  </si>
  <si>
    <t>Type</t>
  </si>
  <si>
    <t>Cover Name</t>
  </si>
  <si>
    <t>Sum Insured</t>
  </si>
  <si>
    <t>Rate</t>
  </si>
  <si>
    <t>Premium</t>
  </si>
  <si>
    <t>( + )</t>
  </si>
  <si>
    <t>Personal Accident Benefits</t>
  </si>
  <si>
    <t>ADD : Terrorism Cover</t>
  </si>
  <si>
    <t>ADD : Hospital Confinement Allowance</t>
  </si>
  <si>
    <t>ADD : Accidental Hospitalisation Cover</t>
  </si>
  <si>
    <t>ADD : Medical Expense Reimbursement</t>
  </si>
  <si>
    <t>ADD : Modification of Residential Accomodation And Vehicle</t>
  </si>
  <si>
    <t>( - )</t>
  </si>
  <si>
    <t>LESS : Long Term Discount(10.00%)</t>
  </si>
  <si>
    <t>ADD : Underwriting Loading</t>
  </si>
  <si>
    <t>TOTAL</t>
  </si>
  <si>
    <t>421010/49/25/000047</t>
  </si>
  <si>
    <t>endr</t>
  </si>
  <si>
    <t>cancell</t>
  </si>
  <si>
    <t>Specialloading</t>
  </si>
  <si>
    <t>50 - 50</t>
  </si>
  <si>
    <t>l</t>
  </si>
  <si>
    <t>NM policy schedule</t>
  </si>
  <si>
    <t>Login with branch user</t>
  </si>
  <si>
    <t>Login with Ho user</t>
  </si>
  <si>
    <t>Policy</t>
  </si>
  <si>
    <t>Expired</t>
  </si>
  <si>
    <t>Active</t>
  </si>
  <si>
    <t>ok</t>
  </si>
  <si>
    <t>NM Customer query</t>
  </si>
  <si>
    <t>GPA</t>
  </si>
  <si>
    <t>NM customer Query</t>
  </si>
  <si>
    <t>GPA UN</t>
  </si>
  <si>
    <t>421010/51/24/000027</t>
  </si>
  <si>
    <t>214007/51/24/000001</t>
  </si>
  <si>
    <t>421010/55/24/000005</t>
  </si>
  <si>
    <t>Not oky</t>
  </si>
  <si>
    <t>421010/55/24/000008</t>
  </si>
  <si>
    <t>Values not fetched in the policy schedule</t>
  </si>
  <si>
    <t>Unable to check</t>
  </si>
  <si>
    <t>Overseas travel</t>
  </si>
  <si>
    <t>Not okay</t>
  </si>
  <si>
    <t>421010/52/25/000062</t>
  </si>
  <si>
    <t>System showing 500 internal server</t>
  </si>
  <si>
    <t>PET</t>
  </si>
  <si>
    <t>Cyber</t>
  </si>
  <si>
    <t>Griha Raksha</t>
  </si>
  <si>
    <t>Griha Raksha incoming</t>
  </si>
  <si>
    <t>GPA Unamed incoming</t>
  </si>
  <si>
    <t>421010/78/24/000030</t>
  </si>
  <si>
    <t>421010/78/24/000062</t>
  </si>
  <si>
    <t>421010/80/24/000039</t>
  </si>
  <si>
    <t>500 internal server error</t>
  </si>
  <si>
    <t>421010/80/24/000005</t>
  </si>
  <si>
    <t>106020/11/22/009613</t>
  </si>
  <si>
    <t>421010/56/24/000134</t>
  </si>
  <si>
    <t>417017/48/23/000108</t>
  </si>
  <si>
    <t>EM_007138</t>
  </si>
  <si>
    <t>novs@123</t>
  </si>
  <si>
    <t>admin</t>
  </si>
  <si>
    <t>NOT Okay</t>
  </si>
  <si>
    <t>RV</t>
  </si>
  <si>
    <t>Not Okay</t>
  </si>
  <si>
    <t>NOT OKAY</t>
  </si>
  <si>
    <t>421010/55/25/000008</t>
  </si>
  <si>
    <t>421010/56/25/000408</t>
  </si>
  <si>
    <t>values not fetch</t>
  </si>
  <si>
    <t xml:space="preserve">OK </t>
  </si>
  <si>
    <t>421010/55/25/000007</t>
  </si>
  <si>
    <t>Download but it mention as demo policy not mention as expierd</t>
  </si>
  <si>
    <t xml:space="preserve">Download but it mention as demo policy not mention as expierd </t>
  </si>
  <si>
    <t>Policy download but not mention as expired</t>
  </si>
  <si>
    <t>ok , policy download but not mention as demo policy</t>
  </si>
  <si>
    <t>421010/80/24/000017</t>
  </si>
  <si>
    <t>not okay ( pdf not found error)</t>
  </si>
  <si>
    <t>OKAY</t>
  </si>
  <si>
    <t>Active policy mention as expierd</t>
  </si>
  <si>
    <t>OKAY, but have empty pages.</t>
  </si>
  <si>
    <t>421010/56/24/000342</t>
  </si>
  <si>
    <t>421010/56/24/000087</t>
  </si>
  <si>
    <t>alignment issue. And have empty pages.</t>
  </si>
  <si>
    <t>421010/48/22/001091</t>
  </si>
  <si>
    <t>Remote server error</t>
  </si>
  <si>
    <t>421010/48/15/003239</t>
  </si>
  <si>
    <t>Remote server error ( new policy need )</t>
  </si>
  <si>
    <t>ok, policy expired alignment overlap in page 4</t>
  </si>
  <si>
    <t>PDF not found</t>
  </si>
  <si>
    <t>not ok ( Page 1 mentioned expired, rest mention as demo policy )</t>
  </si>
  <si>
    <t xml:space="preserve">ok </t>
  </si>
  <si>
    <t>421010/52/25/000069</t>
  </si>
  <si>
    <t>101026/48/23/000351 ( ok )</t>
  </si>
  <si>
    <t>file not found</t>
  </si>
  <si>
    <t>500 server error</t>
  </si>
  <si>
    <t>values not found</t>
  </si>
  <si>
    <t xml:space="preserve">ok, </t>
  </si>
  <si>
    <t>Recheck 4 ( 18 -09 -2024 )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</si>
</sst>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333333"/>
      <name val="Verdana"/>
      <family val="2"/>
    </font>
    <font>
      <b/>
      <sz val="10"/>
      <color rgb="FFFFFFFF"/>
      <name val="Lucida Sans"/>
      <family val="2"/>
    </font>
    <font>
      <sz val="10"/>
      <color rgb="FF222222"/>
      <name val="Lucida Sans"/>
      <family val="2"/>
    </font>
    <font>
      <b/>
      <sz val="10"/>
      <color rgb="FF222222"/>
      <name val="Lucida Sans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CFDFD"/>
        <bgColor indexed="64"/>
      </patternFill>
    </fill>
    <fill>
      <patternFill patternType="solid">
        <fgColor rgb="FF5C9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8C8C8"/>
      </left>
      <right style="thin">
        <color rgb="FF000000"/>
      </right>
      <top style="thin">
        <color rgb="FFC8C8C8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8C8C8"/>
      </top>
      <bottom style="thin">
        <color rgb="FF000000"/>
      </bottom>
      <diagonal/>
    </border>
    <border>
      <left style="thin">
        <color rgb="FF000000"/>
      </left>
      <right style="thin">
        <color rgb="FFC8C8C8"/>
      </right>
      <top style="thin">
        <color rgb="FFC8C8C8"/>
      </top>
      <bottom style="thin">
        <color rgb="FF000000"/>
      </bottom>
      <diagonal/>
    </border>
    <border>
      <left style="thin">
        <color rgb="FFC8C8C8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8C8C8"/>
      </right>
      <top style="thin">
        <color rgb="FF000000"/>
      </top>
      <bottom style="thin">
        <color rgb="FF000000"/>
      </bottom>
      <diagonal/>
    </border>
    <border>
      <left style="thin">
        <color rgb="FFC8C8C8"/>
      </left>
      <right style="thin">
        <color rgb="FF000000"/>
      </right>
      <top style="thin">
        <color rgb="FF000000"/>
      </top>
      <bottom style="thin">
        <color rgb="FFC8C8C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8C8C8"/>
      </bottom>
      <diagonal/>
    </border>
    <border>
      <left style="thin">
        <color rgb="FF000000"/>
      </left>
      <right style="thin">
        <color rgb="FFC8C8C8"/>
      </right>
      <top style="thin">
        <color rgb="FF000000"/>
      </top>
      <bottom style="thin">
        <color rgb="FFC8C8C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4" fillId="2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0" fillId="4" borderId="0" xfId="0" applyFill="1"/>
    <xf numFmtId="0" fontId="0" fillId="4" borderId="1" xfId="0" applyFill="1" applyBorder="1"/>
    <xf numFmtId="0" fontId="2" fillId="4" borderId="1" xfId="0" applyFont="1" applyFill="1" applyBorder="1"/>
    <xf numFmtId="0" fontId="1" fillId="0" borderId="0" xfId="0" applyFont="1"/>
    <xf numFmtId="0" fontId="0" fillId="4" borderId="11" xfId="0" applyFill="1" applyBorder="1"/>
    <xf numFmtId="0" fontId="0" fillId="4" borderId="0" xfId="0" applyFill="1" applyBorder="1"/>
    <xf numFmtId="0" fontId="1" fillId="0" borderId="1" xfId="0" applyFont="1" applyBorder="1"/>
    <xf numFmtId="0" fontId="1" fillId="0" borderId="0" xfId="0" applyFont="1" applyFill="1" applyBorder="1"/>
    <xf numFmtId="0" fontId="1" fillId="4" borderId="0" xfId="0" applyFont="1" applyFill="1" applyBorder="1"/>
    <xf numFmtId="0" fontId="0" fillId="0" borderId="12" xfId="0" applyFill="1" applyBorder="1"/>
    <xf numFmtId="0" fontId="6" fillId="0" borderId="12" xfId="1" applyFill="1" applyBorder="1"/>
    <xf numFmtId="0" fontId="1" fillId="0" borderId="0" xfId="0" applyFont="1" applyBorder="1"/>
    <xf numFmtId="0" fontId="1" fillId="5" borderId="0" xfId="0" applyFont="1" applyFill="1"/>
    <xf numFmtId="0" fontId="0" fillId="4" borderId="0" xfId="0" applyFont="1" applyFill="1" applyBorder="1"/>
    <xf numFmtId="0" fontId="1" fillId="0" borderId="0" xfId="0" applyFont="1" applyBorder="1" applyAlignment="1">
      <alignment wrapText="1"/>
    </xf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12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/>
    <xf numFmtId="0" fontId="1" fillId="0" borderId="12" xfId="0" applyFont="1" applyFill="1" applyBorder="1" applyAlignment="1"/>
    <xf numFmtId="0" fontId="0" fillId="0" borderId="0" xfId="0" applyFill="1" applyBorder="1" applyAlignment="1"/>
    <xf numFmtId="0" fontId="1" fillId="0" borderId="0" xfId="0" applyFont="1" applyFill="1" applyBorder="1" applyAlignment="1"/>
    <xf numFmtId="0" fontId="0" fillId="0" borderId="12" xfId="0" applyFill="1" applyBorder="1" applyAlignment="1"/>
    <xf numFmtId="0" fontId="0" fillId="0" borderId="12" xfId="0" applyFont="1" applyFill="1" applyBorder="1" applyAlignment="1"/>
    <xf numFmtId="0" fontId="0" fillId="0" borderId="0" xfId="0" applyFont="1" applyAlignment="1"/>
    <xf numFmtId="0" fontId="0" fillId="0" borderId="0" xfId="0" applyFont="1" applyFill="1" applyBorder="1" applyAlignment="1"/>
    <xf numFmtId="0" fontId="0" fillId="6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nov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F7" sqref="F7"/>
    </sheetView>
  </sheetViews>
  <sheetFormatPr defaultRowHeight="15" x14ac:dyDescent="0.25"/>
  <cols>
    <col min="1" max="1" width="4" bestFit="1" customWidth="1"/>
    <col min="2" max="2" width="5.5703125" bestFit="1" customWidth="1"/>
    <col min="3" max="3" width="4.85546875" bestFit="1" customWidth="1"/>
    <col min="4" max="4" width="14.140625" bestFit="1" customWidth="1"/>
    <col min="5" max="5" width="12.5703125" bestFit="1" customWidth="1"/>
    <col min="6" max="6" width="37.28515625" customWidth="1"/>
  </cols>
  <sheetData>
    <row r="1" spans="1:10" x14ac:dyDescent="0.25">
      <c r="A1" s="2"/>
      <c r="B1" s="2" t="s">
        <v>1</v>
      </c>
      <c r="C1" s="2"/>
      <c r="D1" s="2" t="s">
        <v>2</v>
      </c>
      <c r="E1" s="2" t="s">
        <v>4</v>
      </c>
      <c r="F1" s="2" t="s">
        <v>3</v>
      </c>
      <c r="G1" s="2" t="s">
        <v>8</v>
      </c>
    </row>
    <row r="2" spans="1:10" x14ac:dyDescent="0.25">
      <c r="A2" s="2" t="s">
        <v>0</v>
      </c>
      <c r="B2" s="2">
        <v>1</v>
      </c>
      <c r="C2" s="2"/>
      <c r="D2" s="2">
        <v>1</v>
      </c>
      <c r="E2" s="15" t="s">
        <v>5</v>
      </c>
      <c r="F2" s="16" t="s">
        <v>9</v>
      </c>
      <c r="G2">
        <v>0</v>
      </c>
    </row>
    <row r="3" spans="1:10" x14ac:dyDescent="0.25">
      <c r="A3" s="2" t="s">
        <v>0</v>
      </c>
      <c r="B3" s="2">
        <v>1</v>
      </c>
      <c r="C3" s="2"/>
      <c r="D3" s="2">
        <v>1</v>
      </c>
      <c r="E3" s="15" t="s">
        <v>6</v>
      </c>
      <c r="F3" s="16" t="s">
        <v>10</v>
      </c>
      <c r="G3">
        <v>0</v>
      </c>
    </row>
    <row r="4" spans="1:10" x14ac:dyDescent="0.25">
      <c r="A4" s="2" t="s">
        <v>0</v>
      </c>
      <c r="B4" s="2">
        <v>1</v>
      </c>
      <c r="C4" s="2"/>
      <c r="D4" s="2">
        <v>1</v>
      </c>
      <c r="E4" s="15" t="s">
        <v>7</v>
      </c>
      <c r="F4" s="16" t="s">
        <v>11</v>
      </c>
      <c r="G4">
        <v>0</v>
      </c>
    </row>
    <row r="5" spans="1:10" x14ac:dyDescent="0.25">
      <c r="A5" s="2"/>
      <c r="B5" s="2">
        <v>2</v>
      </c>
      <c r="C5" s="2"/>
      <c r="D5" s="2">
        <v>1</v>
      </c>
      <c r="E5" s="2" t="s">
        <v>5</v>
      </c>
      <c r="F5" s="3" t="s">
        <v>12</v>
      </c>
      <c r="G5" s="2">
        <v>0</v>
      </c>
      <c r="J5" t="s">
        <v>33</v>
      </c>
    </row>
    <row r="6" spans="1:10" x14ac:dyDescent="0.25">
      <c r="A6" s="2"/>
      <c r="B6" s="2">
        <v>2</v>
      </c>
      <c r="C6" s="2"/>
      <c r="D6" s="2">
        <v>2</v>
      </c>
      <c r="E6" s="2" t="s">
        <v>5</v>
      </c>
      <c r="F6" s="3" t="s">
        <v>13</v>
      </c>
      <c r="G6" s="2">
        <v>0</v>
      </c>
      <c r="J6" t="s">
        <v>34</v>
      </c>
    </row>
    <row r="7" spans="1:10" x14ac:dyDescent="0.25">
      <c r="A7" s="2"/>
      <c r="B7" s="2">
        <v>2</v>
      </c>
      <c r="C7" s="2"/>
      <c r="D7" s="2">
        <v>1</v>
      </c>
      <c r="E7" s="2" t="s">
        <v>7</v>
      </c>
      <c r="F7" s="16" t="s">
        <v>14</v>
      </c>
      <c r="G7" s="2">
        <v>0</v>
      </c>
      <c r="J7" t="s">
        <v>35</v>
      </c>
    </row>
    <row r="8" spans="1:10" x14ac:dyDescent="0.25">
      <c r="A8" s="2"/>
      <c r="B8" s="2">
        <v>2</v>
      </c>
      <c r="C8" s="2"/>
      <c r="D8" s="2">
        <v>2</v>
      </c>
      <c r="E8" s="2" t="s">
        <v>7</v>
      </c>
      <c r="F8" s="3" t="s">
        <v>15</v>
      </c>
      <c r="G8" s="2">
        <v>0</v>
      </c>
      <c r="J8" t="s">
        <v>36</v>
      </c>
    </row>
    <row r="9" spans="1:10" x14ac:dyDescent="0.25">
      <c r="A9" s="2"/>
      <c r="B9" s="2">
        <v>3</v>
      </c>
      <c r="C9" s="2"/>
      <c r="D9" s="2">
        <v>1</v>
      </c>
      <c r="E9" s="2" t="s">
        <v>7</v>
      </c>
      <c r="F9" s="1" t="s">
        <v>32</v>
      </c>
      <c r="G9" s="2">
        <v>0</v>
      </c>
    </row>
    <row r="10" spans="1:10" x14ac:dyDescent="0.25">
      <c r="A10" s="2"/>
      <c r="B10" s="2">
        <v>3</v>
      </c>
      <c r="C10" s="2"/>
      <c r="D10" s="2">
        <v>2</v>
      </c>
      <c r="E10" s="2" t="s">
        <v>7</v>
      </c>
      <c r="F10" s="2"/>
      <c r="G10" s="2">
        <v>0</v>
      </c>
    </row>
    <row r="13" spans="1:10" x14ac:dyDescent="0.25">
      <c r="F13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topLeftCell="B1" workbookViewId="0">
      <selection activeCell="B16" sqref="B16"/>
    </sheetView>
  </sheetViews>
  <sheetFormatPr defaultColWidth="70.5703125" defaultRowHeight="15" x14ac:dyDescent="0.25"/>
  <cols>
    <col min="1" max="1" width="5.85546875" bestFit="1" customWidth="1"/>
    <col min="2" max="2" width="57.28515625" bestFit="1" customWidth="1"/>
    <col min="3" max="3" width="12.7109375" bestFit="1" customWidth="1"/>
    <col min="4" max="4" width="14" bestFit="1" customWidth="1"/>
    <col min="5" max="5" width="9.140625" bestFit="1" customWidth="1"/>
    <col min="6" max="6" width="19.5703125" customWidth="1"/>
    <col min="7" max="7" width="14" customWidth="1"/>
  </cols>
  <sheetData>
    <row r="2" spans="1:7" x14ac:dyDescent="0.25">
      <c r="A2" s="5" t="s">
        <v>16</v>
      </c>
      <c r="B2" s="6" t="s">
        <v>17</v>
      </c>
      <c r="C2" s="6" t="s">
        <v>18</v>
      </c>
      <c r="D2" s="6" t="s">
        <v>19</v>
      </c>
      <c r="E2" s="7" t="s">
        <v>20</v>
      </c>
    </row>
    <row r="3" spans="1:7" x14ac:dyDescent="0.25">
      <c r="A3" s="8" t="s">
        <v>21</v>
      </c>
      <c r="B3" s="4" t="s">
        <v>22</v>
      </c>
      <c r="C3" s="4">
        <v>500000</v>
      </c>
      <c r="D3" s="4">
        <f>1.093/1000</f>
        <v>1.093E-3</v>
      </c>
      <c r="E3" s="9">
        <v>1639.5</v>
      </c>
      <c r="F3">
        <f>C3*D3</f>
        <v>546.5</v>
      </c>
      <c r="G3">
        <f>F3*3</f>
        <v>1639.5</v>
      </c>
    </row>
    <row r="4" spans="1:7" x14ac:dyDescent="0.25">
      <c r="A4" s="8" t="s">
        <v>21</v>
      </c>
      <c r="B4" s="4" t="s">
        <v>23</v>
      </c>
      <c r="C4" s="4">
        <v>500000</v>
      </c>
      <c r="D4" s="4">
        <f>0.058/1000</f>
        <v>5.8E-5</v>
      </c>
      <c r="E4" s="9">
        <v>87</v>
      </c>
      <c r="F4">
        <f>C4*D4</f>
        <v>29</v>
      </c>
      <c r="G4">
        <f>F4*3</f>
        <v>87</v>
      </c>
    </row>
    <row r="5" spans="1:7" x14ac:dyDescent="0.25">
      <c r="A5" s="8" t="s">
        <v>21</v>
      </c>
      <c r="B5" s="4" t="s">
        <v>24</v>
      </c>
      <c r="C5" s="4">
        <v>0</v>
      </c>
      <c r="D5" s="4">
        <f>200/1</f>
        <v>200</v>
      </c>
      <c r="E5" s="9">
        <v>600</v>
      </c>
      <c r="F5">
        <v>200</v>
      </c>
      <c r="G5">
        <f t="shared" ref="G5:G8" si="0">F5*3</f>
        <v>600</v>
      </c>
    </row>
    <row r="6" spans="1:7" x14ac:dyDescent="0.25">
      <c r="A6" s="8" t="s">
        <v>21</v>
      </c>
      <c r="B6" s="4" t="s">
        <v>25</v>
      </c>
      <c r="C6" s="4">
        <v>100000</v>
      </c>
      <c r="D6" s="4">
        <f>200/1</f>
        <v>200</v>
      </c>
      <c r="E6" s="9">
        <v>600</v>
      </c>
      <c r="F6">
        <v>200</v>
      </c>
      <c r="G6">
        <f t="shared" si="0"/>
        <v>600</v>
      </c>
    </row>
    <row r="7" spans="1:7" x14ac:dyDescent="0.25">
      <c r="A7" s="8" t="s">
        <v>21</v>
      </c>
      <c r="B7" s="4" t="s">
        <v>26</v>
      </c>
      <c r="C7" s="4">
        <v>0</v>
      </c>
      <c r="D7" s="4">
        <f>10/100</f>
        <v>0.1</v>
      </c>
      <c r="E7" s="9">
        <v>163.95</v>
      </c>
      <c r="F7">
        <f>F3*D7</f>
        <v>54.650000000000006</v>
      </c>
      <c r="G7">
        <f t="shared" si="0"/>
        <v>163.95000000000002</v>
      </c>
    </row>
    <row r="8" spans="1:7" x14ac:dyDescent="0.25">
      <c r="A8" s="8" t="s">
        <v>21</v>
      </c>
      <c r="B8" s="4" t="s">
        <v>27</v>
      </c>
      <c r="C8" s="4">
        <v>0</v>
      </c>
      <c r="D8" s="4">
        <f>15/1</f>
        <v>15</v>
      </c>
      <c r="E8" s="9">
        <v>45</v>
      </c>
      <c r="F8">
        <v>15</v>
      </c>
      <c r="G8">
        <f t="shared" si="0"/>
        <v>45</v>
      </c>
    </row>
    <row r="9" spans="1:7" x14ac:dyDescent="0.25">
      <c r="A9" s="8" t="s">
        <v>28</v>
      </c>
      <c r="B9" s="4" t="s">
        <v>29</v>
      </c>
      <c r="C9" s="4">
        <v>0</v>
      </c>
      <c r="D9" s="4">
        <f>10/100</f>
        <v>0.1</v>
      </c>
      <c r="E9" s="9">
        <v>940.68</v>
      </c>
      <c r="G9">
        <f>SUM(G3:G8)</f>
        <v>3135.45</v>
      </c>
    </row>
    <row r="10" spans="1:7" x14ac:dyDescent="0.25">
      <c r="A10" s="8" t="s">
        <v>21</v>
      </c>
      <c r="B10" s="4" t="s">
        <v>30</v>
      </c>
      <c r="C10" s="4">
        <v>0</v>
      </c>
      <c r="D10" s="4">
        <f>83/100</f>
        <v>0.83</v>
      </c>
      <c r="E10" s="9">
        <v>2342.19</v>
      </c>
      <c r="G10">
        <f>G9*10%</f>
        <v>313.54500000000002</v>
      </c>
    </row>
    <row r="11" spans="1:7" x14ac:dyDescent="0.25">
      <c r="A11" s="10"/>
      <c r="B11" s="11" t="s">
        <v>31</v>
      </c>
      <c r="C11" s="12"/>
      <c r="D11" s="12"/>
      <c r="E11" s="13">
        <v>4536.96</v>
      </c>
      <c r="G11">
        <f>G9-G10</f>
        <v>2821.9049999999997</v>
      </c>
    </row>
    <row r="12" spans="1:7" x14ac:dyDescent="0.25">
      <c r="G12">
        <f>G11*0.83</f>
        <v>2342.1811499999999</v>
      </c>
    </row>
    <row r="14" spans="1:7" x14ac:dyDescent="0.25">
      <c r="D14">
        <v>826</v>
      </c>
      <c r="E14">
        <f>D14*2</f>
        <v>1652</v>
      </c>
    </row>
    <row r="15" spans="1:7" x14ac:dyDescent="0.25">
      <c r="G15">
        <f>SUM(G3:G8)-G10+G12</f>
        <v>5164.0861499999992</v>
      </c>
    </row>
    <row r="16" spans="1:7" x14ac:dyDescent="0.25">
      <c r="G16">
        <f>G15*18%</f>
        <v>929.53550699999982</v>
      </c>
    </row>
    <row r="17" spans="7:7" x14ac:dyDescent="0.25">
      <c r="G17">
        <f>G15+G16</f>
        <v>6093.6216569999988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topLeftCell="A34" zoomScale="85" zoomScaleNormal="85" workbookViewId="0">
      <selection activeCell="F70" sqref="F70"/>
    </sheetView>
  </sheetViews>
  <sheetFormatPr defaultRowHeight="15" x14ac:dyDescent="0.25"/>
  <cols>
    <col min="1" max="1" width="29.85546875" style="31" customWidth="1"/>
    <col min="2" max="2" width="23" customWidth="1"/>
    <col min="3" max="3" width="26.42578125" customWidth="1"/>
    <col min="4" max="4" width="12" customWidth="1"/>
    <col min="5" max="5" width="13.42578125" customWidth="1"/>
    <col min="6" max="6" width="22.28515625" style="37" customWidth="1"/>
    <col min="7" max="7" width="9" customWidth="1"/>
    <col min="8" max="8" width="61.85546875" style="47" customWidth="1"/>
    <col min="9" max="9" width="63.28515625" customWidth="1"/>
    <col min="10" max="10" width="20.85546875" customWidth="1"/>
    <col min="11" max="11" width="16.28515625" customWidth="1"/>
    <col min="12" max="12" width="38.42578125" bestFit="1" customWidth="1"/>
  </cols>
  <sheetData>
    <row r="1" spans="1:10" x14ac:dyDescent="0.25">
      <c r="E1" t="s">
        <v>41</v>
      </c>
      <c r="H1" s="49" t="s">
        <v>111</v>
      </c>
      <c r="J1" t="s">
        <v>77</v>
      </c>
    </row>
    <row r="2" spans="1:10" ht="14.25" customHeight="1" x14ac:dyDescent="0.25">
      <c r="A2" s="32" t="s">
        <v>0</v>
      </c>
      <c r="B2" s="2" t="s">
        <v>38</v>
      </c>
      <c r="C2" s="2" t="s">
        <v>39</v>
      </c>
      <c r="D2" s="2">
        <v>421010</v>
      </c>
      <c r="E2" s="2" t="s">
        <v>42</v>
      </c>
      <c r="F2" s="38" t="s">
        <v>73</v>
      </c>
      <c r="G2" s="18" t="s">
        <v>44</v>
      </c>
      <c r="H2" s="41"/>
      <c r="I2" s="23"/>
      <c r="J2" s="24" t="s">
        <v>74</v>
      </c>
    </row>
    <row r="3" spans="1:10" x14ac:dyDescent="0.25">
      <c r="A3" s="32"/>
      <c r="B3" s="2"/>
      <c r="C3" s="2" t="s">
        <v>39</v>
      </c>
      <c r="D3" s="2">
        <v>10000</v>
      </c>
      <c r="E3" s="2" t="s">
        <v>42</v>
      </c>
      <c r="G3" s="14" t="s">
        <v>44</v>
      </c>
    </row>
    <row r="4" spans="1:10" x14ac:dyDescent="0.25">
      <c r="A4" s="32"/>
      <c r="B4" s="2"/>
      <c r="C4" s="2" t="s">
        <v>40</v>
      </c>
      <c r="D4" s="2">
        <v>421010</v>
      </c>
      <c r="E4" s="2" t="s">
        <v>42</v>
      </c>
      <c r="F4" s="37" t="s">
        <v>75</v>
      </c>
      <c r="H4" s="41"/>
    </row>
    <row r="5" spans="1:10" x14ac:dyDescent="0.25">
      <c r="A5" s="32"/>
      <c r="B5" s="2"/>
      <c r="C5" s="2" t="s">
        <v>40</v>
      </c>
      <c r="D5" s="2">
        <v>10000</v>
      </c>
      <c r="E5" s="2" t="s">
        <v>42</v>
      </c>
      <c r="G5" s="14" t="s">
        <v>44</v>
      </c>
    </row>
    <row r="6" spans="1:10" x14ac:dyDescent="0.25">
      <c r="E6" s="2"/>
    </row>
    <row r="7" spans="1:10" x14ac:dyDescent="0.25">
      <c r="A7" s="32"/>
      <c r="B7" s="2"/>
      <c r="C7" s="2" t="s">
        <v>39</v>
      </c>
      <c r="D7" s="2">
        <v>421010</v>
      </c>
      <c r="E7" s="2" t="s">
        <v>43</v>
      </c>
      <c r="G7" s="18" t="s">
        <v>44</v>
      </c>
      <c r="H7" s="41"/>
    </row>
    <row r="8" spans="1:10" x14ac:dyDescent="0.25">
      <c r="A8" s="32"/>
      <c r="B8" s="2"/>
      <c r="C8" s="2" t="s">
        <v>39</v>
      </c>
      <c r="D8" s="2">
        <v>10000</v>
      </c>
      <c r="E8" s="2" t="s">
        <v>43</v>
      </c>
      <c r="G8" s="14" t="s">
        <v>44</v>
      </c>
    </row>
    <row r="9" spans="1:10" x14ac:dyDescent="0.25">
      <c r="A9" s="32"/>
      <c r="B9" s="2"/>
      <c r="C9" s="2" t="s">
        <v>40</v>
      </c>
      <c r="D9" s="2">
        <v>421010</v>
      </c>
      <c r="E9" s="2" t="s">
        <v>43</v>
      </c>
      <c r="H9" s="41"/>
    </row>
    <row r="10" spans="1:10" x14ac:dyDescent="0.25">
      <c r="A10" s="32"/>
      <c r="B10" s="2"/>
      <c r="C10" s="2" t="s">
        <v>40</v>
      </c>
      <c r="D10" s="2">
        <v>10000</v>
      </c>
      <c r="E10" s="2" t="s">
        <v>43</v>
      </c>
      <c r="G10" s="14" t="s">
        <v>44</v>
      </c>
    </row>
    <row r="12" spans="1:10" x14ac:dyDescent="0.25">
      <c r="B12" s="2" t="s">
        <v>45</v>
      </c>
      <c r="C12" s="2" t="s">
        <v>39</v>
      </c>
      <c r="D12" s="2">
        <v>421010</v>
      </c>
      <c r="E12" s="2" t="s">
        <v>42</v>
      </c>
      <c r="G12" s="18" t="s">
        <v>44</v>
      </c>
      <c r="H12" s="41"/>
    </row>
    <row r="13" spans="1:10" x14ac:dyDescent="0.25">
      <c r="C13" s="2" t="s">
        <v>39</v>
      </c>
      <c r="D13" s="2">
        <v>10000</v>
      </c>
      <c r="E13" s="2" t="s">
        <v>42</v>
      </c>
      <c r="G13" s="14" t="s">
        <v>44</v>
      </c>
    </row>
    <row r="14" spans="1:10" x14ac:dyDescent="0.25">
      <c r="C14" s="2" t="s">
        <v>39</v>
      </c>
      <c r="D14" s="2">
        <v>421010</v>
      </c>
      <c r="E14" s="2" t="s">
        <v>43</v>
      </c>
      <c r="G14" s="14" t="s">
        <v>44</v>
      </c>
      <c r="H14" s="41"/>
    </row>
    <row r="15" spans="1:10" x14ac:dyDescent="0.25">
      <c r="C15" s="2" t="s">
        <v>39</v>
      </c>
      <c r="D15" s="2">
        <v>10000</v>
      </c>
      <c r="E15" s="2" t="s">
        <v>43</v>
      </c>
      <c r="G15" s="14" t="s">
        <v>44</v>
      </c>
    </row>
    <row r="17" spans="1:13" x14ac:dyDescent="0.25">
      <c r="A17" s="33" t="s">
        <v>46</v>
      </c>
      <c r="B17" s="2" t="s">
        <v>38</v>
      </c>
      <c r="C17" s="2" t="s">
        <v>39</v>
      </c>
      <c r="D17" s="2">
        <v>421010</v>
      </c>
      <c r="E17" s="2" t="s">
        <v>42</v>
      </c>
      <c r="G17" s="19" t="s">
        <v>44</v>
      </c>
      <c r="H17" s="41"/>
    </row>
    <row r="18" spans="1:13" x14ac:dyDescent="0.25">
      <c r="A18" s="33"/>
      <c r="B18" s="2" t="s">
        <v>38</v>
      </c>
      <c r="C18" s="2" t="s">
        <v>40</v>
      </c>
      <c r="D18" s="2">
        <v>10000</v>
      </c>
      <c r="E18" s="2" t="s">
        <v>42</v>
      </c>
      <c r="G18" s="19" t="s">
        <v>44</v>
      </c>
    </row>
    <row r="19" spans="1:13" x14ac:dyDescent="0.25">
      <c r="A19" s="33"/>
      <c r="B19" s="2" t="s">
        <v>38</v>
      </c>
      <c r="C19" s="2" t="s">
        <v>39</v>
      </c>
      <c r="D19" s="2">
        <v>421010</v>
      </c>
      <c r="E19" s="2" t="s">
        <v>43</v>
      </c>
      <c r="G19" s="19" t="s">
        <v>44</v>
      </c>
      <c r="H19" s="41"/>
    </row>
    <row r="20" spans="1:13" x14ac:dyDescent="0.25">
      <c r="A20" s="33"/>
      <c r="B20" s="2" t="s">
        <v>38</v>
      </c>
      <c r="C20" s="2" t="s">
        <v>40</v>
      </c>
      <c r="D20" s="2">
        <v>10000</v>
      </c>
      <c r="E20" s="2" t="s">
        <v>43</v>
      </c>
      <c r="G20" s="19" t="s">
        <v>44</v>
      </c>
    </row>
    <row r="22" spans="1:13" ht="14.25" customHeight="1" x14ac:dyDescent="0.25">
      <c r="A22" s="30" t="s">
        <v>46</v>
      </c>
      <c r="B22" t="s">
        <v>47</v>
      </c>
      <c r="C22" s="20" t="s">
        <v>39</v>
      </c>
      <c r="D22" s="20">
        <v>421010</v>
      </c>
      <c r="E22" s="20" t="s">
        <v>42</v>
      </c>
      <c r="F22" s="39" t="s">
        <v>50</v>
      </c>
      <c r="G22" s="20" t="s">
        <v>55</v>
      </c>
      <c r="H22" s="42" t="s">
        <v>44</v>
      </c>
      <c r="I22" s="28" t="s">
        <v>85</v>
      </c>
    </row>
    <row r="23" spans="1:13" x14ac:dyDescent="0.25">
      <c r="A23" s="30"/>
      <c r="B23" t="s">
        <v>47</v>
      </c>
      <c r="C23" s="20" t="s">
        <v>40</v>
      </c>
      <c r="D23" s="20">
        <v>10000</v>
      </c>
      <c r="E23" s="20" t="s">
        <v>42</v>
      </c>
      <c r="F23" s="39" t="s">
        <v>50</v>
      </c>
      <c r="G23" s="20" t="s">
        <v>55</v>
      </c>
      <c r="H23" s="46" t="s">
        <v>44</v>
      </c>
      <c r="I23" s="25" t="s">
        <v>83</v>
      </c>
    </row>
    <row r="24" spans="1:13" x14ac:dyDescent="0.25">
      <c r="A24" s="30"/>
      <c r="B24" t="s">
        <v>47</v>
      </c>
      <c r="C24" s="20" t="s">
        <v>39</v>
      </c>
      <c r="D24" s="20">
        <v>421010</v>
      </c>
      <c r="E24" s="20" t="s">
        <v>43</v>
      </c>
      <c r="F24" s="39" t="s">
        <v>49</v>
      </c>
      <c r="G24" s="20" t="s">
        <v>55</v>
      </c>
      <c r="H24" s="42" t="s">
        <v>44</v>
      </c>
      <c r="I24" s="27" t="s">
        <v>83</v>
      </c>
    </row>
    <row r="25" spans="1:13" x14ac:dyDescent="0.25">
      <c r="A25" s="30"/>
      <c r="B25" t="s">
        <v>47</v>
      </c>
      <c r="C25" s="20" t="s">
        <v>40</v>
      </c>
      <c r="D25" s="20">
        <v>10000</v>
      </c>
      <c r="E25" s="20" t="s">
        <v>43</v>
      </c>
      <c r="F25" s="39" t="s">
        <v>49</v>
      </c>
      <c r="G25" s="20" t="s">
        <v>55</v>
      </c>
      <c r="H25" s="46" t="s">
        <v>104</v>
      </c>
      <c r="I25" s="25" t="s">
        <v>83</v>
      </c>
    </row>
    <row r="27" spans="1:13" x14ac:dyDescent="0.25">
      <c r="A27" s="33" t="s">
        <v>48</v>
      </c>
      <c r="B27" s="2" t="s">
        <v>38</v>
      </c>
      <c r="C27" s="2" t="s">
        <v>39</v>
      </c>
      <c r="D27" s="2">
        <v>421010</v>
      </c>
      <c r="E27" s="2" t="s">
        <v>42</v>
      </c>
      <c r="F27" s="40" t="s">
        <v>53</v>
      </c>
      <c r="G27" s="18" t="s">
        <v>44</v>
      </c>
      <c r="H27" s="41" t="s">
        <v>106</v>
      </c>
    </row>
    <row r="28" spans="1:13" x14ac:dyDescent="0.25">
      <c r="A28" s="33"/>
      <c r="B28" s="2" t="s">
        <v>38</v>
      </c>
      <c r="C28" s="2" t="s">
        <v>40</v>
      </c>
      <c r="D28" s="2">
        <v>10000</v>
      </c>
      <c r="E28" s="2" t="s">
        <v>42</v>
      </c>
      <c r="F28" s="37" t="s">
        <v>51</v>
      </c>
      <c r="G28" s="14" t="s">
        <v>44</v>
      </c>
      <c r="H28" s="48" t="s">
        <v>101</v>
      </c>
    </row>
    <row r="29" spans="1:13" x14ac:dyDescent="0.25">
      <c r="A29" s="33"/>
      <c r="B29" s="2" t="s">
        <v>38</v>
      </c>
      <c r="C29" s="20" t="s">
        <v>39</v>
      </c>
      <c r="D29" s="20">
        <v>421010</v>
      </c>
      <c r="E29" s="20" t="s">
        <v>43</v>
      </c>
      <c r="F29" s="40" t="s">
        <v>84</v>
      </c>
      <c r="G29" s="17" t="s">
        <v>52</v>
      </c>
      <c r="H29" s="44" t="s">
        <v>44</v>
      </c>
      <c r="I29" s="21" t="s">
        <v>44</v>
      </c>
      <c r="J29" s="17"/>
      <c r="K29" s="17"/>
      <c r="L29" s="17" t="s">
        <v>54</v>
      </c>
      <c r="M29" s="17"/>
    </row>
    <row r="30" spans="1:13" x14ac:dyDescent="0.25">
      <c r="A30" s="33"/>
      <c r="B30" s="2" t="s">
        <v>38</v>
      </c>
      <c r="C30" s="20" t="s">
        <v>40</v>
      </c>
      <c r="D30" s="20">
        <v>10000</v>
      </c>
      <c r="E30" s="20" t="s">
        <v>43</v>
      </c>
      <c r="F30" s="40" t="s">
        <v>53</v>
      </c>
      <c r="G30" s="17" t="s">
        <v>52</v>
      </c>
      <c r="H30" s="48" t="s">
        <v>104</v>
      </c>
      <c r="I30" s="17" t="s">
        <v>44</v>
      </c>
      <c r="J30" s="17"/>
      <c r="K30" s="17"/>
      <c r="L30" s="17" t="s">
        <v>54</v>
      </c>
      <c r="M30" s="17"/>
    </row>
    <row r="31" spans="1:13" ht="18.75" customHeight="1" x14ac:dyDescent="0.25">
      <c r="A31" s="30" t="s">
        <v>48</v>
      </c>
      <c r="B31" t="s">
        <v>47</v>
      </c>
      <c r="C31" s="2" t="s">
        <v>39</v>
      </c>
      <c r="D31" s="2">
        <v>421010</v>
      </c>
      <c r="E31" s="20" t="s">
        <v>42</v>
      </c>
      <c r="F31" s="40" t="s">
        <v>53</v>
      </c>
      <c r="G31" s="19" t="s">
        <v>44</v>
      </c>
      <c r="H31" s="41" t="s">
        <v>106</v>
      </c>
      <c r="I31" s="28" t="s">
        <v>86</v>
      </c>
    </row>
    <row r="32" spans="1:13" x14ac:dyDescent="0.25">
      <c r="A32" s="30"/>
      <c r="B32" t="s">
        <v>47</v>
      </c>
      <c r="C32" s="2" t="s">
        <v>40</v>
      </c>
      <c r="D32" s="2">
        <v>10000</v>
      </c>
      <c r="E32" s="20" t="s">
        <v>42</v>
      </c>
      <c r="F32" s="37" t="s">
        <v>51</v>
      </c>
      <c r="G32" s="14" t="s">
        <v>44</v>
      </c>
      <c r="H32" s="47" t="s">
        <v>44</v>
      </c>
    </row>
    <row r="33" spans="1:12" x14ac:dyDescent="0.25">
      <c r="A33" s="30"/>
      <c r="B33" t="s">
        <v>47</v>
      </c>
      <c r="C33" s="20" t="s">
        <v>39</v>
      </c>
      <c r="D33" s="20">
        <v>421010</v>
      </c>
      <c r="E33" s="20" t="s">
        <v>43</v>
      </c>
      <c r="F33" s="40" t="s">
        <v>84</v>
      </c>
      <c r="G33" s="17" t="s">
        <v>52</v>
      </c>
      <c r="H33" s="44" t="s">
        <v>44</v>
      </c>
      <c r="I33" s="26" t="s">
        <v>44</v>
      </c>
      <c r="J33" s="17" t="s">
        <v>79</v>
      </c>
      <c r="K33" s="17"/>
      <c r="L33" s="17" t="s">
        <v>54</v>
      </c>
    </row>
    <row r="34" spans="1:12" x14ac:dyDescent="0.25">
      <c r="A34" s="30"/>
      <c r="B34" t="s">
        <v>47</v>
      </c>
      <c r="C34" s="20" t="s">
        <v>40</v>
      </c>
      <c r="D34" s="20">
        <v>10000</v>
      </c>
      <c r="E34" s="20" t="s">
        <v>43</v>
      </c>
      <c r="F34" s="40" t="s">
        <v>80</v>
      </c>
      <c r="G34" s="17" t="s">
        <v>52</v>
      </c>
      <c r="H34" s="48" t="s">
        <v>44</v>
      </c>
      <c r="I34" s="17" t="s">
        <v>91</v>
      </c>
      <c r="J34" s="17"/>
      <c r="K34" s="17"/>
      <c r="L34" s="17" t="s">
        <v>54</v>
      </c>
    </row>
    <row r="37" spans="1:12" x14ac:dyDescent="0.25">
      <c r="A37" s="33" t="s">
        <v>56</v>
      </c>
      <c r="B37" s="2" t="s">
        <v>38</v>
      </c>
      <c r="C37" s="2" t="s">
        <v>39</v>
      </c>
      <c r="D37" s="2">
        <v>421010</v>
      </c>
      <c r="E37" s="2" t="s">
        <v>42</v>
      </c>
      <c r="F37" s="37" t="s">
        <v>58</v>
      </c>
      <c r="G37" s="15" t="s">
        <v>44</v>
      </c>
      <c r="H37" s="45" t="s">
        <v>44</v>
      </c>
      <c r="I37" s="20" t="s">
        <v>87</v>
      </c>
    </row>
    <row r="38" spans="1:12" x14ac:dyDescent="0.25">
      <c r="A38" s="33"/>
      <c r="B38" s="2" t="s">
        <v>38</v>
      </c>
      <c r="C38" s="2" t="s">
        <v>40</v>
      </c>
      <c r="D38" s="2">
        <v>10000</v>
      </c>
      <c r="E38" s="2" t="s">
        <v>42</v>
      </c>
      <c r="F38" s="37" t="s">
        <v>58</v>
      </c>
      <c r="G38" s="15" t="s">
        <v>44</v>
      </c>
      <c r="H38" s="46" t="s">
        <v>44</v>
      </c>
    </row>
    <row r="39" spans="1:12" x14ac:dyDescent="0.25">
      <c r="A39" s="33"/>
      <c r="B39" s="2" t="s">
        <v>38</v>
      </c>
      <c r="C39" s="20" t="s">
        <v>39</v>
      </c>
      <c r="D39" s="20">
        <v>421010</v>
      </c>
      <c r="E39" s="20" t="s">
        <v>43</v>
      </c>
      <c r="F39" s="39" t="s">
        <v>105</v>
      </c>
      <c r="G39" s="20" t="s">
        <v>57</v>
      </c>
      <c r="H39" s="42" t="s">
        <v>110</v>
      </c>
      <c r="I39" s="20" t="s">
        <v>88</v>
      </c>
      <c r="J39" s="20" t="s">
        <v>57</v>
      </c>
      <c r="K39" s="20"/>
      <c r="L39" s="20" t="s">
        <v>54</v>
      </c>
    </row>
    <row r="40" spans="1:12" x14ac:dyDescent="0.25">
      <c r="A40" s="33"/>
      <c r="B40" s="2" t="s">
        <v>38</v>
      </c>
      <c r="C40" s="20" t="s">
        <v>40</v>
      </c>
      <c r="D40" s="20">
        <v>10000</v>
      </c>
      <c r="E40" s="20" t="s">
        <v>43</v>
      </c>
      <c r="F40" s="39" t="s">
        <v>105</v>
      </c>
      <c r="G40" s="20" t="s">
        <v>57</v>
      </c>
      <c r="H40" s="47" t="s">
        <v>104</v>
      </c>
      <c r="I40" s="20"/>
      <c r="J40" s="20"/>
      <c r="K40" s="20"/>
      <c r="L40" s="20" t="s">
        <v>54</v>
      </c>
    </row>
    <row r="41" spans="1:12" x14ac:dyDescent="0.25">
      <c r="B41" s="29"/>
      <c r="C41" s="20"/>
      <c r="D41" s="20"/>
      <c r="E41" s="20"/>
      <c r="F41" s="39"/>
      <c r="G41" s="20"/>
      <c r="I41" s="20"/>
      <c r="J41" s="20"/>
      <c r="K41" s="20"/>
      <c r="L41" s="20"/>
    </row>
    <row r="42" spans="1:12" x14ac:dyDescent="0.25">
      <c r="A42" s="30" t="s">
        <v>56</v>
      </c>
      <c r="B42" t="s">
        <v>47</v>
      </c>
      <c r="C42" s="20" t="s">
        <v>39</v>
      </c>
      <c r="D42" s="20">
        <v>421010</v>
      </c>
      <c r="E42" s="20" t="s">
        <v>42</v>
      </c>
      <c r="F42" s="39" t="s">
        <v>58</v>
      </c>
      <c r="G42" s="20" t="s">
        <v>57</v>
      </c>
      <c r="H42" s="42" t="s">
        <v>44</v>
      </c>
      <c r="I42" s="20" t="s">
        <v>87</v>
      </c>
      <c r="J42" s="20" t="s">
        <v>57</v>
      </c>
      <c r="K42" s="20"/>
      <c r="L42" s="20" t="s">
        <v>59</v>
      </c>
    </row>
    <row r="43" spans="1:12" x14ac:dyDescent="0.25">
      <c r="A43" s="30"/>
      <c r="B43" t="s">
        <v>47</v>
      </c>
      <c r="C43" s="20" t="s">
        <v>40</v>
      </c>
      <c r="D43" s="20">
        <v>10000</v>
      </c>
      <c r="E43" s="20" t="s">
        <v>42</v>
      </c>
      <c r="F43" s="39" t="s">
        <v>58</v>
      </c>
      <c r="G43" s="20" t="s">
        <v>57</v>
      </c>
      <c r="H43" s="42" t="s">
        <v>44</v>
      </c>
      <c r="I43" s="20"/>
      <c r="J43" s="20"/>
      <c r="K43" s="20"/>
      <c r="L43" s="20" t="s">
        <v>59</v>
      </c>
    </row>
    <row r="44" spans="1:12" x14ac:dyDescent="0.25">
      <c r="A44" s="30"/>
      <c r="B44" t="s">
        <v>47</v>
      </c>
      <c r="C44" s="20" t="s">
        <v>39</v>
      </c>
      <c r="D44" s="20">
        <v>421010</v>
      </c>
      <c r="E44" s="20" t="s">
        <v>43</v>
      </c>
      <c r="F44" s="39" t="s">
        <v>105</v>
      </c>
      <c r="G44" s="20" t="s">
        <v>57</v>
      </c>
      <c r="H44" s="42" t="s">
        <v>44</v>
      </c>
      <c r="I44" s="20" t="s">
        <v>88</v>
      </c>
      <c r="J44" s="20"/>
      <c r="K44" s="20"/>
      <c r="L44" s="20" t="s">
        <v>59</v>
      </c>
    </row>
    <row r="45" spans="1:12" x14ac:dyDescent="0.25">
      <c r="A45" s="30"/>
      <c r="B45" t="s">
        <v>47</v>
      </c>
      <c r="C45" s="20" t="s">
        <v>40</v>
      </c>
      <c r="D45" s="20">
        <v>10000</v>
      </c>
      <c r="E45" s="20" t="s">
        <v>43</v>
      </c>
      <c r="F45" s="39" t="s">
        <v>105</v>
      </c>
      <c r="G45" s="20" t="s">
        <v>57</v>
      </c>
      <c r="H45" s="47" t="s">
        <v>44</v>
      </c>
      <c r="I45" s="20"/>
      <c r="J45" s="20"/>
      <c r="K45" s="20"/>
      <c r="L45" s="20" t="s">
        <v>59</v>
      </c>
    </row>
    <row r="47" spans="1:12" x14ac:dyDescent="0.25">
      <c r="A47" s="33" t="s">
        <v>60</v>
      </c>
      <c r="B47" s="2" t="s">
        <v>38</v>
      </c>
      <c r="C47" s="2" t="s">
        <v>39</v>
      </c>
      <c r="D47" s="2">
        <v>421010</v>
      </c>
      <c r="E47" s="2" t="s">
        <v>42</v>
      </c>
      <c r="F47" s="37" t="s">
        <v>65</v>
      </c>
      <c r="G47" s="22" t="s">
        <v>44</v>
      </c>
      <c r="H47" s="43" t="s">
        <v>44</v>
      </c>
    </row>
    <row r="48" spans="1:12" x14ac:dyDescent="0.25">
      <c r="A48" s="33"/>
      <c r="B48" s="2" t="s">
        <v>38</v>
      </c>
      <c r="C48" s="2" t="s">
        <v>40</v>
      </c>
      <c r="D48" s="2">
        <v>10000</v>
      </c>
      <c r="E48" s="2" t="s">
        <v>42</v>
      </c>
      <c r="F48" s="37" t="s">
        <v>65</v>
      </c>
      <c r="G48" s="22" t="s">
        <v>44</v>
      </c>
      <c r="H48" s="48" t="s">
        <v>44</v>
      </c>
    </row>
    <row r="49" spans="1:11" x14ac:dyDescent="0.25">
      <c r="A49" s="33"/>
      <c r="B49" s="2" t="s">
        <v>38</v>
      </c>
      <c r="C49" s="2" t="s">
        <v>39</v>
      </c>
      <c r="D49" s="2">
        <v>421010</v>
      </c>
      <c r="E49" s="2" t="s">
        <v>43</v>
      </c>
      <c r="F49" s="37" t="s">
        <v>66</v>
      </c>
      <c r="G49" s="22" t="s">
        <v>44</v>
      </c>
      <c r="H49" s="48" t="s">
        <v>44</v>
      </c>
    </row>
    <row r="50" spans="1:11" x14ac:dyDescent="0.25">
      <c r="A50" s="33"/>
      <c r="B50" s="2" t="s">
        <v>38</v>
      </c>
      <c r="C50" s="2" t="s">
        <v>40</v>
      </c>
      <c r="D50" s="2">
        <v>10000</v>
      </c>
      <c r="E50" s="2" t="s">
        <v>43</v>
      </c>
      <c r="F50" s="37" t="s">
        <v>66</v>
      </c>
      <c r="G50" s="22" t="s">
        <v>44</v>
      </c>
      <c r="H50" s="48" t="s">
        <v>44</v>
      </c>
    </row>
    <row r="51" spans="1:11" x14ac:dyDescent="0.25">
      <c r="B51" s="29"/>
      <c r="C51" s="2"/>
      <c r="D51" s="2"/>
      <c r="E51" s="2"/>
      <c r="G51" s="22"/>
    </row>
    <row r="52" spans="1:11" x14ac:dyDescent="0.25">
      <c r="A52" s="30" t="s">
        <v>60</v>
      </c>
      <c r="B52" t="s">
        <v>47</v>
      </c>
      <c r="C52" s="2" t="s">
        <v>39</v>
      </c>
      <c r="D52" s="2">
        <v>421010</v>
      </c>
      <c r="E52" s="2" t="s">
        <v>42</v>
      </c>
      <c r="F52" s="37" t="s">
        <v>65</v>
      </c>
      <c r="G52" s="22" t="s">
        <v>44</v>
      </c>
      <c r="H52" s="48" t="s">
        <v>44</v>
      </c>
    </row>
    <row r="53" spans="1:11" x14ac:dyDescent="0.25">
      <c r="A53" s="30"/>
      <c r="B53" t="s">
        <v>47</v>
      </c>
      <c r="C53" s="2" t="s">
        <v>40</v>
      </c>
      <c r="D53" s="2">
        <v>10000</v>
      </c>
      <c r="E53" s="2" t="s">
        <v>42</v>
      </c>
      <c r="F53" s="37" t="s">
        <v>65</v>
      </c>
      <c r="G53" s="22" t="s">
        <v>44</v>
      </c>
      <c r="H53" s="48" t="s">
        <v>44</v>
      </c>
    </row>
    <row r="54" spans="1:11" x14ac:dyDescent="0.25">
      <c r="A54" s="30"/>
      <c r="B54" t="s">
        <v>47</v>
      </c>
      <c r="C54" s="2" t="s">
        <v>39</v>
      </c>
      <c r="D54" s="2">
        <v>421010</v>
      </c>
      <c r="E54" s="2" t="s">
        <v>43</v>
      </c>
      <c r="F54" s="37" t="s">
        <v>66</v>
      </c>
      <c r="G54" s="22" t="s">
        <v>44</v>
      </c>
      <c r="H54" s="48" t="s">
        <v>44</v>
      </c>
    </row>
    <row r="55" spans="1:11" x14ac:dyDescent="0.25">
      <c r="A55" s="30"/>
      <c r="B55" t="s">
        <v>47</v>
      </c>
      <c r="C55" s="2" t="s">
        <v>40</v>
      </c>
      <c r="D55" s="2">
        <v>10000</v>
      </c>
      <c r="E55" s="2" t="s">
        <v>43</v>
      </c>
      <c r="F55" s="37" t="s">
        <v>66</v>
      </c>
      <c r="G55" s="22" t="s">
        <v>44</v>
      </c>
      <c r="H55" s="48" t="s">
        <v>44</v>
      </c>
    </row>
    <row r="57" spans="1:11" x14ac:dyDescent="0.25">
      <c r="A57" s="33" t="s">
        <v>61</v>
      </c>
      <c r="B57" s="20" t="s">
        <v>38</v>
      </c>
      <c r="C57" s="20" t="s">
        <v>39</v>
      </c>
      <c r="D57" s="20">
        <v>421010</v>
      </c>
      <c r="E57" s="20" t="s">
        <v>42</v>
      </c>
      <c r="F57" s="40" t="s">
        <v>89</v>
      </c>
      <c r="G57" s="21" t="s">
        <v>57</v>
      </c>
      <c r="H57" s="44" t="s">
        <v>107</v>
      </c>
      <c r="I57" s="17" t="s">
        <v>90</v>
      </c>
      <c r="J57" s="17" t="s">
        <v>76</v>
      </c>
      <c r="K57" s="17" t="s">
        <v>68</v>
      </c>
    </row>
    <row r="58" spans="1:11" x14ac:dyDescent="0.25">
      <c r="A58" s="33"/>
      <c r="B58" s="20" t="s">
        <v>38</v>
      </c>
      <c r="C58" s="20" t="s">
        <v>40</v>
      </c>
      <c r="D58" s="20">
        <v>10000</v>
      </c>
      <c r="E58" s="20" t="s">
        <v>42</v>
      </c>
      <c r="F58" s="40" t="s">
        <v>67</v>
      </c>
      <c r="G58" s="21"/>
      <c r="H58" s="48" t="s">
        <v>102</v>
      </c>
      <c r="I58" s="17"/>
      <c r="J58" s="17" t="s">
        <v>76</v>
      </c>
      <c r="K58" s="17"/>
    </row>
    <row r="59" spans="1:11" x14ac:dyDescent="0.25">
      <c r="A59" s="33"/>
      <c r="B59" s="20" t="s">
        <v>38</v>
      </c>
      <c r="C59" s="20" t="s">
        <v>39</v>
      </c>
      <c r="D59" s="20">
        <v>421010</v>
      </c>
      <c r="E59" s="20" t="s">
        <v>43</v>
      </c>
      <c r="F59" s="40" t="s">
        <v>69</v>
      </c>
      <c r="G59" s="21" t="s">
        <v>57</v>
      </c>
      <c r="H59" s="44" t="s">
        <v>107</v>
      </c>
      <c r="I59" s="17" t="s">
        <v>90</v>
      </c>
      <c r="J59" s="17" t="s">
        <v>76</v>
      </c>
      <c r="K59" s="17" t="s">
        <v>68</v>
      </c>
    </row>
    <row r="60" spans="1:11" x14ac:dyDescent="0.25">
      <c r="A60" s="33"/>
      <c r="B60" s="20" t="s">
        <v>38</v>
      </c>
      <c r="C60" s="20" t="s">
        <v>40</v>
      </c>
      <c r="D60" s="20">
        <v>10000</v>
      </c>
      <c r="E60" s="20" t="s">
        <v>43</v>
      </c>
      <c r="F60" s="40" t="s">
        <v>69</v>
      </c>
      <c r="G60" s="21"/>
      <c r="I60" s="17"/>
      <c r="J60" s="17" t="s">
        <v>76</v>
      </c>
      <c r="K60" s="17"/>
    </row>
    <row r="61" spans="1:11" x14ac:dyDescent="0.25">
      <c r="B61" s="17"/>
      <c r="C61" s="20"/>
      <c r="D61" s="20"/>
      <c r="E61" s="20"/>
      <c r="F61" s="40"/>
      <c r="G61" s="21"/>
      <c r="I61" s="17"/>
      <c r="J61" s="17"/>
      <c r="K61" s="17"/>
    </row>
    <row r="62" spans="1:11" x14ac:dyDescent="0.25">
      <c r="A62" s="30" t="s">
        <v>61</v>
      </c>
      <c r="B62" s="17" t="s">
        <v>47</v>
      </c>
      <c r="C62" s="20" t="s">
        <v>39</v>
      </c>
      <c r="D62" s="20">
        <v>421010</v>
      </c>
      <c r="E62" s="20" t="s">
        <v>42</v>
      </c>
      <c r="F62" s="37" t="s">
        <v>89</v>
      </c>
      <c r="G62" s="21" t="s">
        <v>52</v>
      </c>
      <c r="H62" s="44" t="s">
        <v>107</v>
      </c>
      <c r="I62" s="17" t="s">
        <v>44</v>
      </c>
      <c r="J62" s="17" t="s">
        <v>76</v>
      </c>
      <c r="K62" s="17" t="s">
        <v>68</v>
      </c>
    </row>
    <row r="63" spans="1:11" x14ac:dyDescent="0.25">
      <c r="A63" s="30"/>
      <c r="B63" s="17" t="s">
        <v>47</v>
      </c>
      <c r="C63" s="20" t="s">
        <v>40</v>
      </c>
      <c r="D63" s="20">
        <v>10000</v>
      </c>
      <c r="E63" s="20" t="s">
        <v>42</v>
      </c>
      <c r="F63" s="40" t="s">
        <v>67</v>
      </c>
      <c r="G63" s="17"/>
      <c r="H63" s="44" t="s">
        <v>107</v>
      </c>
      <c r="I63" s="17"/>
      <c r="J63" s="17" t="s">
        <v>76</v>
      </c>
      <c r="K63" s="17"/>
    </row>
    <row r="64" spans="1:11" x14ac:dyDescent="0.25">
      <c r="A64" s="30"/>
      <c r="B64" s="17" t="s">
        <v>47</v>
      </c>
      <c r="C64" s="20" t="s">
        <v>39</v>
      </c>
      <c r="D64" s="20">
        <v>421010</v>
      </c>
      <c r="E64" s="20" t="s">
        <v>43</v>
      </c>
      <c r="F64" s="40" t="s">
        <v>69</v>
      </c>
      <c r="G64" s="17" t="s">
        <v>52</v>
      </c>
      <c r="H64" s="44" t="s">
        <v>107</v>
      </c>
      <c r="I64" s="20" t="s">
        <v>88</v>
      </c>
      <c r="J64" s="17" t="s">
        <v>76</v>
      </c>
      <c r="K64" s="17" t="s">
        <v>68</v>
      </c>
    </row>
    <row r="65" spans="1:11" x14ac:dyDescent="0.25">
      <c r="A65" s="30"/>
      <c r="B65" s="17" t="s">
        <v>47</v>
      </c>
      <c r="C65" s="2" t="s">
        <v>40</v>
      </c>
      <c r="D65" s="2">
        <v>10000</v>
      </c>
      <c r="E65" s="2" t="s">
        <v>43</v>
      </c>
      <c r="J65" s="17" t="s">
        <v>76</v>
      </c>
    </row>
    <row r="67" spans="1:11" x14ac:dyDescent="0.25">
      <c r="A67" s="34" t="s">
        <v>62</v>
      </c>
      <c r="B67" s="20" t="s">
        <v>38</v>
      </c>
      <c r="C67" s="20" t="s">
        <v>39</v>
      </c>
      <c r="D67" s="20">
        <v>421010</v>
      </c>
      <c r="E67" s="20" t="s">
        <v>42</v>
      </c>
      <c r="F67" s="40" t="s">
        <v>70</v>
      </c>
      <c r="G67" s="17"/>
      <c r="H67" s="44" t="s">
        <v>104</v>
      </c>
      <c r="I67" s="17" t="s">
        <v>93</v>
      </c>
      <c r="J67" s="17" t="s">
        <v>78</v>
      </c>
      <c r="K67" s="17" t="s">
        <v>68</v>
      </c>
    </row>
    <row r="68" spans="1:11" x14ac:dyDescent="0.25">
      <c r="A68" s="34"/>
      <c r="B68" s="20" t="s">
        <v>38</v>
      </c>
      <c r="C68" s="20" t="s">
        <v>40</v>
      </c>
      <c r="D68" s="20">
        <v>10000</v>
      </c>
      <c r="E68" s="20" t="s">
        <v>42</v>
      </c>
      <c r="F68" s="40" t="s">
        <v>70</v>
      </c>
      <c r="G68" s="17"/>
      <c r="H68" s="48" t="s">
        <v>110</v>
      </c>
      <c r="I68" s="17"/>
      <c r="J68" s="17"/>
      <c r="K68" s="17"/>
    </row>
    <row r="69" spans="1:11" x14ac:dyDescent="0.25">
      <c r="A69" s="34"/>
      <c r="B69" s="20" t="s">
        <v>38</v>
      </c>
      <c r="C69" s="20" t="s">
        <v>39</v>
      </c>
      <c r="D69" s="20">
        <v>421010</v>
      </c>
      <c r="E69" s="20" t="s">
        <v>43</v>
      </c>
      <c r="F69" s="40" t="s">
        <v>81</v>
      </c>
      <c r="G69" s="17"/>
      <c r="H69" s="44" t="s">
        <v>44</v>
      </c>
      <c r="I69" s="17" t="s">
        <v>92</v>
      </c>
      <c r="J69" s="17"/>
      <c r="K69" s="17"/>
    </row>
    <row r="70" spans="1:11" x14ac:dyDescent="0.25">
      <c r="A70" s="34"/>
      <c r="B70" s="20" t="s">
        <v>38</v>
      </c>
      <c r="C70" s="20" t="s">
        <v>40</v>
      </c>
      <c r="D70" s="20">
        <v>10000</v>
      </c>
      <c r="E70" s="20" t="s">
        <v>43</v>
      </c>
      <c r="F70" s="40" t="s">
        <v>71</v>
      </c>
      <c r="G70" s="17"/>
      <c r="H70" s="47" t="s">
        <v>103</v>
      </c>
      <c r="I70" s="17"/>
      <c r="J70" s="17"/>
      <c r="K70" s="17" t="s">
        <v>68</v>
      </c>
    </row>
    <row r="71" spans="1:11" x14ac:dyDescent="0.25">
      <c r="A71" s="35"/>
      <c r="B71" s="17"/>
      <c r="C71" s="20"/>
      <c r="D71" s="20"/>
      <c r="E71" s="20"/>
      <c r="F71" s="40"/>
      <c r="G71" s="17"/>
      <c r="I71" s="17"/>
      <c r="J71" s="17"/>
      <c r="K71" s="17"/>
    </row>
    <row r="72" spans="1:11" x14ac:dyDescent="0.25">
      <c r="A72" s="36" t="s">
        <v>62</v>
      </c>
      <c r="B72" s="17" t="s">
        <v>47</v>
      </c>
      <c r="C72" s="20" t="s">
        <v>39</v>
      </c>
      <c r="D72" s="20">
        <v>421010</v>
      </c>
      <c r="E72" s="20" t="s">
        <v>42</v>
      </c>
      <c r="F72" s="40" t="s">
        <v>70</v>
      </c>
      <c r="G72" s="17"/>
      <c r="H72" s="44" t="s">
        <v>44</v>
      </c>
      <c r="I72" s="17" t="s">
        <v>82</v>
      </c>
      <c r="J72" s="17"/>
      <c r="K72" s="17"/>
    </row>
    <row r="73" spans="1:11" x14ac:dyDescent="0.25">
      <c r="A73" s="36"/>
      <c r="B73" s="17" t="s">
        <v>47</v>
      </c>
      <c r="C73" s="20" t="s">
        <v>40</v>
      </c>
      <c r="D73" s="20">
        <v>10000</v>
      </c>
      <c r="E73" s="20" t="s">
        <v>42</v>
      </c>
      <c r="F73" s="40" t="s">
        <v>70</v>
      </c>
      <c r="G73" s="17"/>
      <c r="H73" s="44" t="s">
        <v>44</v>
      </c>
      <c r="I73" s="17"/>
      <c r="J73" s="17"/>
      <c r="K73" s="17"/>
    </row>
    <row r="74" spans="1:11" x14ac:dyDescent="0.25">
      <c r="A74" s="36"/>
      <c r="B74" s="17" t="s">
        <v>47</v>
      </c>
      <c r="C74" s="20" t="s">
        <v>39</v>
      </c>
      <c r="D74" s="20">
        <v>421010</v>
      </c>
      <c r="E74" s="20" t="s">
        <v>43</v>
      </c>
      <c r="F74" s="40" t="s">
        <v>71</v>
      </c>
      <c r="G74" s="17"/>
      <c r="H74" s="44" t="s">
        <v>44</v>
      </c>
      <c r="I74" s="17" t="s">
        <v>82</v>
      </c>
      <c r="J74" s="17"/>
      <c r="K74" s="17"/>
    </row>
    <row r="75" spans="1:11" x14ac:dyDescent="0.25">
      <c r="A75" s="36"/>
      <c r="B75" s="17" t="s">
        <v>47</v>
      </c>
      <c r="C75" s="20" t="s">
        <v>40</v>
      </c>
      <c r="D75" s="20">
        <v>10000</v>
      </c>
      <c r="E75" s="20" t="s">
        <v>43</v>
      </c>
      <c r="F75" s="40" t="s">
        <v>71</v>
      </c>
      <c r="G75" s="17"/>
      <c r="H75" s="44" t="s">
        <v>44</v>
      </c>
      <c r="I75" s="17"/>
      <c r="J75" s="17"/>
      <c r="K75" s="17"/>
    </row>
    <row r="77" spans="1:11" x14ac:dyDescent="0.25">
      <c r="A77" s="33" t="s">
        <v>63</v>
      </c>
      <c r="B77" s="2" t="s">
        <v>38</v>
      </c>
      <c r="C77" s="2" t="s">
        <v>39</v>
      </c>
      <c r="D77" s="2">
        <v>421010</v>
      </c>
      <c r="E77" s="2" t="s">
        <v>42</v>
      </c>
      <c r="F77" s="37" t="s">
        <v>95</v>
      </c>
      <c r="H77" s="41" t="s">
        <v>44</v>
      </c>
      <c r="I77" s="17" t="s">
        <v>96</v>
      </c>
    </row>
    <row r="78" spans="1:11" x14ac:dyDescent="0.25">
      <c r="A78" s="33"/>
      <c r="B78" s="2" t="s">
        <v>38</v>
      </c>
      <c r="C78" s="2" t="s">
        <v>40</v>
      </c>
      <c r="D78" s="2">
        <v>10000</v>
      </c>
      <c r="E78" s="2" t="s">
        <v>42</v>
      </c>
      <c r="F78" s="37" t="s">
        <v>95</v>
      </c>
      <c r="H78" s="47" t="s">
        <v>44</v>
      </c>
    </row>
    <row r="79" spans="1:11" x14ac:dyDescent="0.25">
      <c r="A79" s="33"/>
      <c r="B79" s="2" t="s">
        <v>38</v>
      </c>
      <c r="C79" s="2" t="s">
        <v>39</v>
      </c>
      <c r="D79" s="2">
        <v>421010</v>
      </c>
      <c r="E79" s="2" t="s">
        <v>43</v>
      </c>
      <c r="F79" s="37" t="s">
        <v>94</v>
      </c>
      <c r="H79" s="47" t="s">
        <v>44</v>
      </c>
      <c r="I79" s="17" t="s">
        <v>92</v>
      </c>
    </row>
    <row r="80" spans="1:11" x14ac:dyDescent="0.25">
      <c r="A80" s="33"/>
      <c r="B80" s="2" t="s">
        <v>38</v>
      </c>
      <c r="C80" s="2" t="s">
        <v>40</v>
      </c>
      <c r="D80" s="2">
        <v>10000</v>
      </c>
      <c r="E80" s="2" t="s">
        <v>43</v>
      </c>
      <c r="F80" s="37" t="s">
        <v>94</v>
      </c>
      <c r="H80" s="47" t="s">
        <v>103</v>
      </c>
    </row>
    <row r="81" spans="1:9" x14ac:dyDescent="0.25">
      <c r="C81" s="2"/>
      <c r="D81" s="2"/>
      <c r="E81" s="2"/>
    </row>
    <row r="82" spans="1:9" x14ac:dyDescent="0.25">
      <c r="A82" s="30" t="s">
        <v>63</v>
      </c>
      <c r="B82" t="s">
        <v>47</v>
      </c>
      <c r="C82" s="2" t="s">
        <v>39</v>
      </c>
      <c r="D82" s="2">
        <v>421010</v>
      </c>
      <c r="E82" s="2" t="s">
        <v>42</v>
      </c>
      <c r="F82" s="37" t="s">
        <v>95</v>
      </c>
      <c r="H82" s="47" t="s">
        <v>44</v>
      </c>
      <c r="I82" t="s">
        <v>82</v>
      </c>
    </row>
    <row r="83" spans="1:9" x14ac:dyDescent="0.25">
      <c r="A83" s="30"/>
      <c r="B83" t="s">
        <v>47</v>
      </c>
      <c r="C83" s="2" t="s">
        <v>40</v>
      </c>
      <c r="D83" s="2">
        <v>10000</v>
      </c>
      <c r="E83" s="2" t="s">
        <v>42</v>
      </c>
      <c r="F83" s="37" t="s">
        <v>95</v>
      </c>
      <c r="H83" s="47" t="s">
        <v>44</v>
      </c>
    </row>
    <row r="84" spans="1:9" x14ac:dyDescent="0.25">
      <c r="A84" s="30"/>
      <c r="B84" t="s">
        <v>47</v>
      </c>
      <c r="C84" s="2" t="s">
        <v>39</v>
      </c>
      <c r="D84" s="2">
        <v>421010</v>
      </c>
      <c r="E84" s="2" t="s">
        <v>43</v>
      </c>
      <c r="F84" s="37" t="s">
        <v>94</v>
      </c>
      <c r="H84" s="47" t="s">
        <v>44</v>
      </c>
      <c r="I84" t="s">
        <v>82</v>
      </c>
    </row>
    <row r="85" spans="1:9" x14ac:dyDescent="0.25">
      <c r="A85" s="30"/>
      <c r="B85" t="s">
        <v>47</v>
      </c>
      <c r="C85" s="2" t="s">
        <v>40</v>
      </c>
      <c r="D85" s="2">
        <v>10000</v>
      </c>
      <c r="E85" s="2" t="s">
        <v>43</v>
      </c>
      <c r="F85" s="37" t="s">
        <v>94</v>
      </c>
      <c r="H85" s="47" t="s">
        <v>44</v>
      </c>
    </row>
    <row r="87" spans="1:9" x14ac:dyDescent="0.25">
      <c r="A87" s="33" t="s">
        <v>64</v>
      </c>
      <c r="B87" s="2" t="s">
        <v>38</v>
      </c>
      <c r="C87" s="2" t="s">
        <v>39</v>
      </c>
      <c r="D87" s="2">
        <v>421010</v>
      </c>
      <c r="E87" s="2" t="s">
        <v>42</v>
      </c>
      <c r="F87" s="37" t="s">
        <v>97</v>
      </c>
      <c r="H87" s="41" t="s">
        <v>108</v>
      </c>
    </row>
    <row r="88" spans="1:9" x14ac:dyDescent="0.25">
      <c r="A88" s="33"/>
      <c r="B88" s="2" t="s">
        <v>38</v>
      </c>
      <c r="C88" s="2" t="s">
        <v>40</v>
      </c>
      <c r="D88" s="2">
        <v>10000</v>
      </c>
      <c r="E88" s="2" t="s">
        <v>42</v>
      </c>
    </row>
    <row r="89" spans="1:9" x14ac:dyDescent="0.25">
      <c r="A89" s="33"/>
      <c r="B89" s="2" t="s">
        <v>38</v>
      </c>
      <c r="C89" s="2" t="s">
        <v>39</v>
      </c>
      <c r="D89" s="2">
        <v>421010</v>
      </c>
      <c r="E89" s="2" t="s">
        <v>43</v>
      </c>
      <c r="F89" s="37" t="s">
        <v>99</v>
      </c>
      <c r="H89" s="41" t="s">
        <v>108</v>
      </c>
      <c r="I89" t="s">
        <v>100</v>
      </c>
    </row>
    <row r="90" spans="1:9" x14ac:dyDescent="0.25">
      <c r="A90" s="33"/>
      <c r="B90" s="2" t="s">
        <v>38</v>
      </c>
      <c r="C90" s="2" t="s">
        <v>40</v>
      </c>
      <c r="D90" s="2">
        <v>10000</v>
      </c>
      <c r="E90" s="2" t="s">
        <v>43</v>
      </c>
      <c r="F90" s="37" t="s">
        <v>72</v>
      </c>
    </row>
    <row r="91" spans="1:9" x14ac:dyDescent="0.25">
      <c r="C91" s="2"/>
      <c r="D91" s="2"/>
      <c r="E91" s="2"/>
    </row>
    <row r="92" spans="1:9" x14ac:dyDescent="0.25">
      <c r="A92" s="30" t="s">
        <v>64</v>
      </c>
      <c r="B92" t="s">
        <v>47</v>
      </c>
      <c r="C92" s="2" t="s">
        <v>39</v>
      </c>
      <c r="D92" s="2">
        <v>421010</v>
      </c>
      <c r="E92" s="2" t="s">
        <v>42</v>
      </c>
      <c r="F92" s="37" t="s">
        <v>97</v>
      </c>
      <c r="H92" s="41" t="s">
        <v>109</v>
      </c>
      <c r="I92" t="s">
        <v>98</v>
      </c>
    </row>
    <row r="93" spans="1:9" x14ac:dyDescent="0.25">
      <c r="A93" s="30"/>
      <c r="B93" t="s">
        <v>47</v>
      </c>
      <c r="C93" s="2" t="s">
        <v>40</v>
      </c>
      <c r="D93" s="2">
        <v>10000</v>
      </c>
      <c r="E93" s="2" t="s">
        <v>42</v>
      </c>
    </row>
    <row r="94" spans="1:9" x14ac:dyDescent="0.25">
      <c r="A94" s="30"/>
      <c r="B94" t="s">
        <v>47</v>
      </c>
      <c r="C94" s="2" t="s">
        <v>39</v>
      </c>
      <c r="D94" s="2">
        <v>421010</v>
      </c>
      <c r="E94" s="2" t="s">
        <v>43</v>
      </c>
      <c r="F94" s="37" t="s">
        <v>99</v>
      </c>
      <c r="H94" s="41" t="s">
        <v>109</v>
      </c>
    </row>
    <row r="95" spans="1:9" x14ac:dyDescent="0.25">
      <c r="A95" s="30"/>
      <c r="B95" t="s">
        <v>47</v>
      </c>
      <c r="C95" s="2" t="s">
        <v>40</v>
      </c>
      <c r="D95" s="2">
        <v>10000</v>
      </c>
      <c r="E95" s="2" t="s">
        <v>43</v>
      </c>
    </row>
  </sheetData>
  <autoFilter ref="D1:D95"/>
  <mergeCells count="16">
    <mergeCell ref="A77:A80"/>
    <mergeCell ref="A82:A85"/>
    <mergeCell ref="A87:A90"/>
    <mergeCell ref="A92:A95"/>
    <mergeCell ref="A47:A50"/>
    <mergeCell ref="A52:A55"/>
    <mergeCell ref="A57:A60"/>
    <mergeCell ref="A62:A65"/>
    <mergeCell ref="A67:A70"/>
    <mergeCell ref="A72:A75"/>
    <mergeCell ref="A22:A25"/>
    <mergeCell ref="A17:A20"/>
    <mergeCell ref="A27:A30"/>
    <mergeCell ref="A31:A34"/>
    <mergeCell ref="A37:A40"/>
    <mergeCell ref="A42:A45"/>
  </mergeCells>
  <hyperlinks>
    <hyperlink ref="J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S.</dc:creator>
  <cp:lastModifiedBy>Ravi Raj. R</cp:lastModifiedBy>
  <dcterms:created xsi:type="dcterms:W3CDTF">2024-09-03T05:34:23Z</dcterms:created>
  <dcterms:modified xsi:type="dcterms:W3CDTF">2024-09-18T10:14:16Z</dcterms:modified>
</cp:coreProperties>
</file>