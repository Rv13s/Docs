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6\NOVPHILSCR-3166 Auto reminder email- Policy Cancellation for Outstanding Premium Policies\"/>
    </mc:Choice>
  </mc:AlternateContent>
  <bookViews>
    <workbookView xWindow="0" yWindow="0" windowWidth="17925" windowHeight="9600"/>
  </bookViews>
  <sheets>
    <sheet name="Reminder Email Triggering" sheetId="2" r:id="rId1"/>
    <sheet name="Policy Cancellation Triggerin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H9" i="1"/>
  <c r="F9" i="1"/>
  <c r="K9" i="1" s="1"/>
  <c r="L9" i="1" s="1"/>
  <c r="M9" i="1" s="1"/>
  <c r="N9" i="1" s="1"/>
  <c r="H8" i="1"/>
  <c r="F8" i="1"/>
  <c r="K8" i="1" s="1"/>
  <c r="L8" i="1" s="1"/>
  <c r="M8" i="1" s="1"/>
  <c r="N8" i="1" s="1"/>
  <c r="H7" i="1"/>
  <c r="F7" i="1"/>
  <c r="K7" i="1" s="1"/>
  <c r="L7" i="1" s="1"/>
  <c r="M7" i="1" s="1"/>
  <c r="N7" i="1" s="1"/>
  <c r="H6" i="1"/>
  <c r="F6" i="1"/>
  <c r="K6" i="1" s="1"/>
  <c r="L6" i="1" s="1"/>
  <c r="M6" i="1" s="1"/>
  <c r="N6" i="1" s="1"/>
  <c r="H5" i="1"/>
  <c r="F5" i="1"/>
  <c r="K5" i="1" s="1"/>
  <c r="L5" i="1" s="1"/>
  <c r="M5" i="1" l="1"/>
  <c r="N5" i="1" s="1"/>
</calcChain>
</file>

<file path=xl/sharedStrings.xml><?xml version="1.0" encoding="utf-8"?>
<sst xmlns="http://schemas.openxmlformats.org/spreadsheetml/2006/main" count="29" uniqueCount="21">
  <si>
    <t>Policy No</t>
  </si>
  <si>
    <t>Policy Start Date</t>
  </si>
  <si>
    <t>Policy End Date</t>
  </si>
  <si>
    <t>Policy Period</t>
  </si>
  <si>
    <t>Payment Terms Days</t>
  </si>
  <si>
    <t>PPW Date</t>
  </si>
  <si>
    <t>Policy Premium</t>
  </si>
  <si>
    <t>Perday Premium</t>
  </si>
  <si>
    <t>Premium collected for the days</t>
  </si>
  <si>
    <t>Auto Intiate the cancellation</t>
  </si>
  <si>
    <t>10000/31/24/001</t>
  </si>
  <si>
    <t>10000/31/24/002</t>
  </si>
  <si>
    <t>10000/31/24/003</t>
  </si>
  <si>
    <t>10000/31/24/004</t>
  </si>
  <si>
    <t>10000/31/24/005</t>
  </si>
  <si>
    <t xml:space="preserve">Policy No </t>
  </si>
  <si>
    <t>Payment Terms in Days</t>
  </si>
  <si>
    <t>Email Triggering on</t>
  </si>
  <si>
    <t>next day of Policy start date</t>
  </si>
  <si>
    <t>Reminder Email before PPW date</t>
  </si>
  <si>
    <t>Receipt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</si>
</sst>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15" fontId="0" fillId="0" borderId="1" xfId="0" applyNumberFormat="1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43" fontId="0" fillId="0" borderId="1" xfId="1" applyFont="1" applyBorder="1" applyAlignment="1">
      <alignment horizontal="justify" vertical="center" wrapText="1"/>
    </xf>
    <xf numFmtId="43" fontId="0" fillId="0" borderId="1" xfId="0" applyNumberFormat="1" applyBorder="1"/>
    <xf numFmtId="1" fontId="0" fillId="0" borderId="1" xfId="0" applyNumberFormat="1" applyBorder="1"/>
    <xf numFmtId="15" fontId="0" fillId="0" borderId="1" xfId="0" applyNumberFormat="1" applyBorder="1"/>
    <xf numFmtId="0" fontId="4" fillId="0" borderId="1" xfId="0" applyFont="1" applyBorder="1" applyAlignment="1">
      <alignment horizontal="justify" vertical="center" wrapText="1"/>
    </xf>
    <xf numFmtId="15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15" fontId="0" fillId="0" borderId="0" xfId="0" applyNumberFormat="1"/>
    <xf numFmtId="0" fontId="3" fillId="2" borderId="1" xfId="0" applyFont="1" applyFill="1" applyBorder="1" applyAlignment="1">
      <alignment horizontal="justify" vertical="center" wrapText="1"/>
    </xf>
    <xf numFmtId="15" fontId="0" fillId="2" borderId="1" xfId="0" applyNumberFormat="1" applyFont="1" applyFill="1" applyBorder="1" applyAlignment="1">
      <alignment horizontal="justify" vertical="center" wrapText="1"/>
    </xf>
    <xf numFmtId="0" fontId="0" fillId="2" borderId="1" xfId="0" applyFill="1" applyBorder="1"/>
    <xf numFmtId="0" fontId="0" fillId="2" borderId="1" xfId="0" applyFon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justify" vertical="center" wrapText="1"/>
    </xf>
    <xf numFmtId="43" fontId="0" fillId="2" borderId="1" xfId="0" applyNumberFormat="1" applyFill="1" applyBorder="1"/>
    <xf numFmtId="1" fontId="0" fillId="2" borderId="1" xfId="0" applyNumberFormat="1" applyFill="1" applyBorder="1"/>
    <xf numFmtId="15" fontId="0" fillId="2" borderId="1" xfId="0" applyNumberFormat="1" applyFill="1" applyBorder="1"/>
    <xf numFmtId="0" fontId="3" fillId="3" borderId="1" xfId="0" applyFont="1" applyFill="1" applyBorder="1" applyAlignment="1">
      <alignment horizontal="justify" vertical="center" wrapText="1"/>
    </xf>
    <xf numFmtId="15" fontId="0" fillId="3" borderId="1" xfId="0" applyNumberFormat="1" applyFont="1" applyFill="1" applyBorder="1" applyAlignment="1">
      <alignment horizontal="justify" vertical="center" wrapText="1"/>
    </xf>
    <xf numFmtId="0" fontId="0" fillId="3" borderId="1" xfId="0" applyFill="1" applyBorder="1"/>
    <xf numFmtId="0" fontId="0" fillId="3" borderId="1" xfId="0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justify" vertical="center" wrapText="1"/>
    </xf>
    <xf numFmtId="43" fontId="0" fillId="3" borderId="1" xfId="0" applyNumberFormat="1" applyFill="1" applyBorder="1"/>
    <xf numFmtId="2" fontId="0" fillId="3" borderId="1" xfId="0" applyNumberFormat="1" applyFill="1" applyBorder="1"/>
    <xf numFmtId="15" fontId="0" fillId="3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0"/>
  <sheetViews>
    <sheetView tabSelected="1" workbookViewId="0">
      <selection activeCell="H10" sqref="H10"/>
    </sheetView>
  </sheetViews>
  <sheetFormatPr defaultRowHeight="15" x14ac:dyDescent="0.25"/>
  <cols>
    <col min="3" max="3" width="15.7109375" bestFit="1" customWidth="1"/>
    <col min="4" max="4" width="15.5703125" bestFit="1" customWidth="1"/>
    <col min="5" max="5" width="21.85546875" bestFit="1" customWidth="1"/>
    <col min="6" max="6" width="19.140625" bestFit="1" customWidth="1"/>
    <col min="7" max="7" width="22.85546875" bestFit="1" customWidth="1"/>
    <col min="8" max="8" width="22.7109375" customWidth="1"/>
  </cols>
  <sheetData>
    <row r="5" spans="3:8" ht="30" x14ac:dyDescent="0.25">
      <c r="C5" s="11" t="s">
        <v>15</v>
      </c>
      <c r="D5" s="11" t="s">
        <v>1</v>
      </c>
      <c r="E5" s="11" t="s">
        <v>16</v>
      </c>
      <c r="F5" s="11" t="s">
        <v>5</v>
      </c>
      <c r="G5" s="11" t="s">
        <v>19</v>
      </c>
      <c r="H5" s="11" t="s">
        <v>17</v>
      </c>
    </row>
    <row r="6" spans="3:8" x14ac:dyDescent="0.25">
      <c r="C6" s="3" t="s">
        <v>10</v>
      </c>
      <c r="D6" s="12">
        <v>45580</v>
      </c>
      <c r="E6" s="13">
        <v>90</v>
      </c>
      <c r="F6" s="12">
        <v>45670</v>
      </c>
      <c r="G6" s="3">
        <v>7</v>
      </c>
      <c r="H6" s="12">
        <v>45663</v>
      </c>
    </row>
    <row r="7" spans="3:8" x14ac:dyDescent="0.25">
      <c r="C7" s="3" t="s">
        <v>11</v>
      </c>
      <c r="D7" s="12">
        <v>45580</v>
      </c>
      <c r="E7" s="13">
        <v>10</v>
      </c>
      <c r="F7" s="12">
        <v>45590</v>
      </c>
      <c r="G7" s="3">
        <v>7</v>
      </c>
      <c r="H7" s="12">
        <v>45583</v>
      </c>
    </row>
    <row r="8" spans="3:8" x14ac:dyDescent="0.25">
      <c r="C8" s="3" t="s">
        <v>12</v>
      </c>
      <c r="D8" s="12">
        <v>45580</v>
      </c>
      <c r="E8" s="13">
        <v>8</v>
      </c>
      <c r="F8" s="12">
        <v>45588</v>
      </c>
      <c r="G8" s="3">
        <v>5</v>
      </c>
      <c r="H8" s="12">
        <v>45583</v>
      </c>
    </row>
    <row r="9" spans="3:8" ht="30" x14ac:dyDescent="0.25">
      <c r="C9" s="3" t="s">
        <v>13</v>
      </c>
      <c r="D9" s="12">
        <v>45580</v>
      </c>
      <c r="E9" s="13">
        <v>5</v>
      </c>
      <c r="F9" s="12">
        <v>45585</v>
      </c>
      <c r="G9" s="3" t="s">
        <v>18</v>
      </c>
      <c r="H9" s="12">
        <v>45581</v>
      </c>
    </row>
    <row r="10" spans="3:8" ht="30" x14ac:dyDescent="0.25">
      <c r="C10" s="3" t="s">
        <v>14</v>
      </c>
      <c r="D10" s="12">
        <v>45580</v>
      </c>
      <c r="E10" s="13">
        <v>4</v>
      </c>
      <c r="F10" s="12">
        <v>45584</v>
      </c>
      <c r="G10" s="3" t="s">
        <v>18</v>
      </c>
      <c r="H10" s="12">
        <v>45581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9"/>
  <sheetViews>
    <sheetView workbookViewId="0">
      <selection activeCell="L14" sqref="L14"/>
    </sheetView>
  </sheetViews>
  <sheetFormatPr defaultRowHeight="15" x14ac:dyDescent="0.25"/>
  <cols>
    <col min="2" max="2" width="15.7109375" bestFit="1" customWidth="1"/>
    <col min="3" max="3" width="10.85546875" bestFit="1" customWidth="1"/>
    <col min="4" max="4" width="14.7109375" bestFit="1" customWidth="1"/>
    <col min="5" max="5" width="14.7109375" customWidth="1"/>
    <col min="7" max="7" width="8.85546875" bestFit="1" customWidth="1"/>
    <col min="8" max="8" width="9.85546875" bestFit="1" customWidth="1"/>
    <col min="9" max="9" width="10" bestFit="1" customWidth="1"/>
    <col min="14" max="14" width="9.5703125" bestFit="1" customWidth="1"/>
    <col min="15" max="15" width="9.85546875" bestFit="1" customWidth="1"/>
    <col min="16" max="16" width="16.7109375" bestFit="1" customWidth="1"/>
    <col min="18" max="18" width="9.85546875" bestFit="1" customWidth="1"/>
  </cols>
  <sheetData>
    <row r="4" spans="2:18" ht="75" x14ac:dyDescent="0.25">
      <c r="B4" s="1" t="s">
        <v>0</v>
      </c>
      <c r="C4" s="1" t="s">
        <v>1</v>
      </c>
      <c r="D4" s="1" t="s">
        <v>2</v>
      </c>
      <c r="E4" s="1"/>
      <c r="F4" s="2" t="s">
        <v>3</v>
      </c>
      <c r="G4" s="1" t="s">
        <v>4</v>
      </c>
      <c r="H4" s="1" t="s">
        <v>5</v>
      </c>
      <c r="I4" s="1" t="s">
        <v>6</v>
      </c>
      <c r="J4" s="1" t="s">
        <v>20</v>
      </c>
      <c r="K4" s="2" t="s">
        <v>7</v>
      </c>
      <c r="L4" s="2" t="s">
        <v>8</v>
      </c>
      <c r="M4" s="2"/>
      <c r="N4" s="2"/>
      <c r="O4" s="2" t="s">
        <v>9</v>
      </c>
    </row>
    <row r="5" spans="2:18" x14ac:dyDescent="0.25">
      <c r="B5" s="3" t="s">
        <v>10</v>
      </c>
      <c r="C5" s="4">
        <v>45580</v>
      </c>
      <c r="D5" s="4">
        <v>45945</v>
      </c>
      <c r="E5" s="5">
        <f>D5-C5</f>
        <v>365</v>
      </c>
      <c r="F5" s="5">
        <f>D5-C5</f>
        <v>365</v>
      </c>
      <c r="G5" s="6">
        <v>90</v>
      </c>
      <c r="H5" s="4">
        <f>C5+G5</f>
        <v>45670</v>
      </c>
      <c r="I5" s="7">
        <v>10000</v>
      </c>
      <c r="J5" s="7">
        <v>5000</v>
      </c>
      <c r="K5" s="8">
        <f>I5/F5</f>
        <v>27.397260273972602</v>
      </c>
      <c r="L5" s="9">
        <f>J5/K5</f>
        <v>182.5</v>
      </c>
      <c r="M5" s="9">
        <f>IF(L5&gt;G5,L5+1,G5+1)</f>
        <v>183.5</v>
      </c>
      <c r="N5" s="10">
        <f>C5+M5</f>
        <v>45763.5</v>
      </c>
      <c r="O5" s="10">
        <v>45764</v>
      </c>
      <c r="R5" s="14"/>
    </row>
    <row r="6" spans="2:18" x14ac:dyDescent="0.25">
      <c r="B6" s="3" t="s">
        <v>11</v>
      </c>
      <c r="C6" s="4">
        <v>45580</v>
      </c>
      <c r="D6" s="4">
        <v>45945</v>
      </c>
      <c r="E6" s="5">
        <f t="shared" ref="E6:E9" si="0">D6-C6</f>
        <v>365</v>
      </c>
      <c r="F6" s="5">
        <f t="shared" ref="F6:F9" si="1">D6-C6</f>
        <v>365</v>
      </c>
      <c r="G6" s="6">
        <v>10</v>
      </c>
      <c r="H6" s="4">
        <f>C6+G6</f>
        <v>45590</v>
      </c>
      <c r="I6" s="7">
        <v>10000</v>
      </c>
      <c r="J6" s="7">
        <v>8000</v>
      </c>
      <c r="K6" s="8">
        <f t="shared" ref="K6:K9" si="2">I6/F6</f>
        <v>27.397260273972602</v>
      </c>
      <c r="L6" s="9">
        <f>J6/K6</f>
        <v>292</v>
      </c>
      <c r="M6" s="9">
        <f t="shared" ref="M6" si="3">IF(L6&gt;G6,L6+1,G6)</f>
        <v>293</v>
      </c>
      <c r="N6" s="10">
        <f t="shared" ref="N6:N9" si="4">C6+M6</f>
        <v>45873</v>
      </c>
      <c r="O6" s="10">
        <v>46238</v>
      </c>
      <c r="R6" s="14"/>
    </row>
    <row r="7" spans="2:18" x14ac:dyDescent="0.25">
      <c r="B7" s="15" t="s">
        <v>12</v>
      </c>
      <c r="C7" s="16">
        <v>45580</v>
      </c>
      <c r="D7" s="16">
        <v>45945</v>
      </c>
      <c r="E7" s="5">
        <f t="shared" si="0"/>
        <v>365</v>
      </c>
      <c r="F7" s="17">
        <f t="shared" si="1"/>
        <v>365</v>
      </c>
      <c r="G7" s="18">
        <v>8</v>
      </c>
      <c r="H7" s="16">
        <f>C7+G7</f>
        <v>45588</v>
      </c>
      <c r="I7" s="19">
        <v>10000</v>
      </c>
      <c r="J7" s="19">
        <v>0</v>
      </c>
      <c r="K7" s="20">
        <f t="shared" si="2"/>
        <v>27.397260273972602</v>
      </c>
      <c r="L7" s="21">
        <f>J7/K7</f>
        <v>0</v>
      </c>
      <c r="M7" s="9">
        <f>IF(L7&gt;G7,L7+1,G7+1)</f>
        <v>9</v>
      </c>
      <c r="N7" s="10">
        <f t="shared" si="4"/>
        <v>45589</v>
      </c>
      <c r="O7" s="22">
        <v>45589</v>
      </c>
    </row>
    <row r="8" spans="2:18" x14ac:dyDescent="0.25">
      <c r="B8" s="23" t="s">
        <v>13</v>
      </c>
      <c r="C8" s="24">
        <v>45580</v>
      </c>
      <c r="D8" s="24">
        <v>45945</v>
      </c>
      <c r="E8" s="5">
        <f t="shared" si="0"/>
        <v>365</v>
      </c>
      <c r="F8" s="25">
        <f t="shared" si="1"/>
        <v>365</v>
      </c>
      <c r="G8" s="26">
        <v>5</v>
      </c>
      <c r="H8" s="24">
        <f>C8+G8</f>
        <v>45585</v>
      </c>
      <c r="I8" s="27">
        <v>10000</v>
      </c>
      <c r="J8" s="27">
        <v>100</v>
      </c>
      <c r="K8" s="28">
        <f>I8/F8</f>
        <v>27.397260273972602</v>
      </c>
      <c r="L8" s="29">
        <f>J8/K8</f>
        <v>3.65</v>
      </c>
      <c r="M8" s="9">
        <f>IF(L8&gt;G8,L8+1,G8+1)</f>
        <v>6</v>
      </c>
      <c r="N8" s="10">
        <f t="shared" si="4"/>
        <v>45586</v>
      </c>
      <c r="O8" s="30">
        <v>45586</v>
      </c>
    </row>
    <row r="9" spans="2:18" x14ac:dyDescent="0.25">
      <c r="B9" s="3" t="s">
        <v>14</v>
      </c>
      <c r="C9" s="4">
        <v>45713</v>
      </c>
      <c r="D9" s="4">
        <v>45813</v>
      </c>
      <c r="E9" s="5">
        <f t="shared" si="0"/>
        <v>100</v>
      </c>
      <c r="F9" s="5">
        <f t="shared" si="1"/>
        <v>100</v>
      </c>
      <c r="G9" s="6">
        <v>22</v>
      </c>
      <c r="H9" s="4">
        <f>C9+G9</f>
        <v>45735</v>
      </c>
      <c r="I9" s="7">
        <v>4758.3900000000003</v>
      </c>
      <c r="J9" s="7">
        <v>0</v>
      </c>
      <c r="K9" s="8">
        <f t="shared" si="2"/>
        <v>47.5839</v>
      </c>
      <c r="L9" s="9">
        <f t="shared" ref="L9" si="5">J9/K9</f>
        <v>0</v>
      </c>
      <c r="M9" s="9">
        <f t="shared" ref="M9" si="6">IF(L9&gt;G9,L9+1,G9+1)</f>
        <v>23</v>
      </c>
      <c r="N9" s="10">
        <f t="shared" si="4"/>
        <v>45736</v>
      </c>
      <c r="O9" s="10">
        <v>45585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 Email Triggering</vt:lpstr>
      <vt:lpstr>Policy Cancellation Triggering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2024-11-27T09:39:59Z</dcterms:created>
  <dcterms:modified xsi:type="dcterms:W3CDTF">2025-05-14T09:42:41Z</dcterms:modified>
</cp:coreProperties>
</file>